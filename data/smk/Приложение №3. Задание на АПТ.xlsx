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7980" tabRatio="832"/>
  </bookViews>
  <sheets>
    <sheet name="Главный корпус" sheetId="3" r:id="rId1"/>
  </sheets>
  <calcPr calcId="152511"/>
</workbook>
</file>

<file path=xl/calcChain.xml><?xml version="1.0" encoding="utf-8"?>
<calcChain xmlns="http://schemas.openxmlformats.org/spreadsheetml/2006/main">
  <c r="C37" i="3" l="1"/>
  <c r="C32" i="3"/>
  <c r="C31" i="3"/>
  <c r="C129" i="3"/>
  <c r="C128" i="3"/>
  <c r="C134" i="3"/>
  <c r="C133" i="3"/>
  <c r="C132" i="3"/>
  <c r="C131" i="3"/>
  <c r="C130" i="3"/>
  <c r="C36" i="3"/>
  <c r="C35" i="3"/>
  <c r="C34" i="3"/>
  <c r="C33" i="3"/>
</calcChain>
</file>

<file path=xl/sharedStrings.xml><?xml version="1.0" encoding="utf-8"?>
<sst xmlns="http://schemas.openxmlformats.org/spreadsheetml/2006/main" count="451" uniqueCount="138">
  <si>
    <t>Наименование помещения</t>
  </si>
  <si>
    <t>Основание</t>
  </si>
  <si>
    <t>Примечание</t>
  </si>
  <si>
    <t>№ 
пом.</t>
  </si>
  <si>
    <t>Отм. 0,000</t>
  </si>
  <si>
    <t>Тамбур</t>
  </si>
  <si>
    <t>Лестничная клетка</t>
  </si>
  <si>
    <t>Коридор</t>
  </si>
  <si>
    <t>Помещение уборочного инвентаря</t>
  </si>
  <si>
    <t>Душевая</t>
  </si>
  <si>
    <t>Венткамера</t>
  </si>
  <si>
    <t>Вспомогательное помещение</t>
  </si>
  <si>
    <t>Электротехническое помещение</t>
  </si>
  <si>
    <t>Комната отдыха</t>
  </si>
  <si>
    <t>Санузел</t>
  </si>
  <si>
    <t>Площадь,
м2</t>
  </si>
  <si>
    <t xml:space="preserve">Категория по
СП 12.13130.2009 </t>
  </si>
  <si>
    <t>В4</t>
  </si>
  <si>
    <t>В3</t>
  </si>
  <si>
    <t>В2</t>
  </si>
  <si>
    <t>−</t>
  </si>
  <si>
    <t>В1</t>
  </si>
  <si>
    <t>Да</t>
  </si>
  <si>
    <t>Необходимость
оснащения АУПТ, 
Да/Нет</t>
  </si>
  <si>
    <t>Нет</t>
  </si>
  <si>
    <t>1S01</t>
  </si>
  <si>
    <t>Машинное отделение</t>
  </si>
  <si>
    <t>1S02</t>
  </si>
  <si>
    <t>Деаэраторное отделение</t>
  </si>
  <si>
    <t>1S03</t>
  </si>
  <si>
    <t>Котельное отделение</t>
  </si>
  <si>
    <t>1S04</t>
  </si>
  <si>
    <t>Помещение щита возбуждения блока №1</t>
  </si>
  <si>
    <t>1S05</t>
  </si>
  <si>
    <t>Помещение щита возбуждения блока №2</t>
  </si>
  <si>
    <t>1S06</t>
  </si>
  <si>
    <t>Помещение щита возбуждения блока №3</t>
  </si>
  <si>
    <t>1S07</t>
  </si>
  <si>
    <t>Помещение щита возбуждения блока №4</t>
  </si>
  <si>
    <t>1S08</t>
  </si>
  <si>
    <t>БОА</t>
  </si>
  <si>
    <t>1S09</t>
  </si>
  <si>
    <t>1S10</t>
  </si>
  <si>
    <t>1S11</t>
  </si>
  <si>
    <t>1S13</t>
  </si>
  <si>
    <t>Кабельный этаж</t>
  </si>
  <si>
    <t>Помещение установок коррекционной обработки воды</t>
  </si>
  <si>
    <t>1S16</t>
  </si>
  <si>
    <t>Входной тамбур</t>
  </si>
  <si>
    <t>Комната обогрева</t>
  </si>
  <si>
    <t>Помещение ремонтной группы</t>
  </si>
  <si>
    <t>АКБ 1</t>
  </si>
  <si>
    <t>1S27</t>
  </si>
  <si>
    <t>КРУ-6 кВ Блок №1</t>
  </si>
  <si>
    <t>1S29</t>
  </si>
  <si>
    <t>КРУ-6 кВ Блок №2</t>
  </si>
  <si>
    <t>АКБ 2</t>
  </si>
  <si>
    <t>Свободная позиция</t>
  </si>
  <si>
    <t>1S38</t>
  </si>
  <si>
    <t>Резервное КРУ-6 кВ</t>
  </si>
  <si>
    <t>1S39</t>
  </si>
  <si>
    <t>КРУ-6 кВ Блок №3</t>
  </si>
  <si>
    <t>АКБ 3</t>
  </si>
  <si>
    <t>1S44</t>
  </si>
  <si>
    <t>1S45</t>
  </si>
  <si>
    <t>КРУ-6 кВ Блок №4</t>
  </si>
  <si>
    <t>АКБ 4</t>
  </si>
  <si>
    <t>1S50</t>
  </si>
  <si>
    <t>Общестанционное КРУ-6 кВ</t>
  </si>
  <si>
    <t>Отм. +3,600</t>
  </si>
  <si>
    <t>2S14</t>
  </si>
  <si>
    <t>РУСН-0,4 кВ общестанционное</t>
  </si>
  <si>
    <t>2S15</t>
  </si>
  <si>
    <t>Отм. +5,550</t>
  </si>
  <si>
    <t>2S03</t>
  </si>
  <si>
    <t>2S04</t>
  </si>
  <si>
    <t>2S05</t>
  </si>
  <si>
    <t>2S06</t>
  </si>
  <si>
    <t>2S07</t>
  </si>
  <si>
    <t>2S08</t>
  </si>
  <si>
    <t>2S09</t>
  </si>
  <si>
    <t>2S10</t>
  </si>
  <si>
    <t>2S11</t>
  </si>
  <si>
    <t>2S12</t>
  </si>
  <si>
    <t>2S13</t>
  </si>
  <si>
    <t>Отм. +6,000</t>
  </si>
  <si>
    <t>Экспресс-лаборатория ВПУ</t>
  </si>
  <si>
    <t>Комната приема пищи (помещение персонала)</t>
  </si>
  <si>
    <t>Отм. +9,600</t>
  </si>
  <si>
    <t>Гардеробная домашней одежды на 19 мест (мужская 1б)</t>
  </si>
  <si>
    <t>РУСН-0,4 кВ и ЩПТ Блок 1</t>
  </si>
  <si>
    <t>Помещение панелей реле блока №1, 2</t>
  </si>
  <si>
    <t>Помещение электроники блока 1</t>
  </si>
  <si>
    <t>Помещение инженерной станции</t>
  </si>
  <si>
    <t>3S10</t>
  </si>
  <si>
    <t>Блочный щит управления 1, 2</t>
  </si>
  <si>
    <t>3S11</t>
  </si>
  <si>
    <t>Помещение начальника смены</t>
  </si>
  <si>
    <t>3S12</t>
  </si>
  <si>
    <t>Помещение оформления допусков</t>
  </si>
  <si>
    <t>Помещение электроники блока 2</t>
  </si>
  <si>
    <t>РУСН-0,4 кВ и ЩПТ блок 2</t>
  </si>
  <si>
    <t>ЦЩУ</t>
  </si>
  <si>
    <t>Помещение связи</t>
  </si>
  <si>
    <t>РУСН-0,4 кВ и ЩПТ блок 3</t>
  </si>
  <si>
    <t>Помещение панелей реле блока №3, 4</t>
  </si>
  <si>
    <t xml:space="preserve">Помещение электроники блока 3 </t>
  </si>
  <si>
    <t>Блочный щит управления 3, 4</t>
  </si>
  <si>
    <t>Помещение программистов</t>
  </si>
  <si>
    <t>Помещение электроники блока 4</t>
  </si>
  <si>
    <t>РУСН-0,4 кВ и ЩПТ Блок 4</t>
  </si>
  <si>
    <t>А</t>
  </si>
  <si>
    <t>п.10.2 таб.3 СП 486.1311500-2020</t>
  </si>
  <si>
    <t>п.4.5 СП 486.1311500-2020</t>
  </si>
  <si>
    <t>п.1 таб.2 СП 486.1311500-2020</t>
  </si>
  <si>
    <t>п.17 таб.3 СП 486.1311500-2020</t>
  </si>
  <si>
    <t>Помещение категории В1</t>
  </si>
  <si>
    <t>Помещение категории В2</t>
  </si>
  <si>
    <t>Помещение категории В3</t>
  </si>
  <si>
    <t>Помещение категории В4</t>
  </si>
  <si>
    <t>Количество помещений подлежащих оснащению АУПТ</t>
  </si>
  <si>
    <t>Помещение категории А</t>
  </si>
  <si>
    <t>Помещение категории Б</t>
  </si>
  <si>
    <t>Оси</t>
  </si>
  <si>
    <t>Отметки</t>
  </si>
  <si>
    <t>Средства тушения(рекомендуемое)</t>
  </si>
  <si>
    <t>Наименование обоудования</t>
  </si>
  <si>
    <t>Б-В/28-29</t>
  </si>
  <si>
    <t>0.000</t>
  </si>
  <si>
    <t>участок размещения сборки водогрейных котлов</t>
  </si>
  <si>
    <t>Пена высокой крастности, газ (для локального пожаротушения в соответствии с СП485.1311500.2020)</t>
  </si>
  <si>
    <t>Пена высокой крастности, газ, порошок, вода</t>
  </si>
  <si>
    <t>+12.000</t>
  </si>
  <si>
    <t>участок размещения насос замкнутого контура подогрева дизельного топлива</t>
  </si>
  <si>
    <t>участок размещения сборки задвижек</t>
  </si>
  <si>
    <t>Газ, порошок, вода</t>
  </si>
  <si>
    <t xml:space="preserve">Газ, порошок, вода </t>
  </si>
  <si>
    <t>Приложение № 3 к распоряжение АО "Институт Теплоэлектропроект" от 24.08.2022 № 26р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</si>
</sst>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theme="1"/>
      <name val="ISOCPEUR"/>
      <family val="2"/>
      <charset val="204"/>
    </font>
    <font>
      <sz val="11"/>
      <color theme="1"/>
      <name val="ISOCPEUR"/>
      <family val="2"/>
      <charset val="204"/>
    </font>
    <font>
      <sz val="12"/>
      <color theme="1"/>
      <name val="ISOCPEUR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FFE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/>
    <xf numFmtId="164" fontId="1" fillId="0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CDFFCD"/>
      <color rgb="FFFBDAD1"/>
      <color rgb="FFE7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H237"/>
  <sheetViews>
    <sheetView tabSelected="1" zoomScale="70" zoomScaleNormal="70" workbookViewId="0">
      <pane ySplit="3" topLeftCell="A4" activePane="bottomLeft" state="frozen"/>
      <selection activeCell="F100" sqref="F100"/>
      <selection pane="bottomLeft" sqref="A1:K135"/>
    </sheetView>
  </sheetViews>
  <sheetFormatPr defaultRowHeight="15"/>
  <cols>
    <col min="1" max="1" width="14.42578125" style="9" bestFit="1" customWidth="1"/>
    <col min="2" max="2" width="91.140625" style="9" bestFit="1" customWidth="1"/>
    <col min="3" max="3" width="10.140625" style="9" bestFit="1" customWidth="1"/>
    <col min="4" max="5" width="9.85546875" style="9" bestFit="1" customWidth="1"/>
    <col min="6" max="6" width="32.7109375" style="9" customWidth="1"/>
    <col min="7" max="7" width="49.5703125" style="9" customWidth="1"/>
    <col min="8" max="8" width="66" style="9" customWidth="1"/>
    <col min="9" max="9" width="13.5703125" style="9" customWidth="1"/>
    <col min="10" max="10" width="13.5703125" style="40" customWidth="1"/>
    <col min="11" max="11" width="66.28515625" style="9" customWidth="1"/>
    <col min="12" max="34" width="9.140625" style="11"/>
    <col min="35" max="16384" width="9.140625" style="12"/>
  </cols>
  <sheetData>
    <row r="1" spans="1:34" ht="44.25" customHeight="1">
      <c r="K1" s="8" t="s">
        <v>137</v>
      </c>
    </row>
    <row r="2" spans="1:34" ht="97.5" customHeight="1">
      <c r="A2" s="8" t="s">
        <v>3</v>
      </c>
      <c r="B2" s="9" t="s">
        <v>0</v>
      </c>
      <c r="C2" s="8" t="s">
        <v>15</v>
      </c>
      <c r="D2" s="10" t="s">
        <v>16</v>
      </c>
      <c r="E2" s="10" t="s">
        <v>23</v>
      </c>
      <c r="F2" s="9" t="s">
        <v>1</v>
      </c>
      <c r="G2" s="9" t="s">
        <v>125</v>
      </c>
      <c r="H2" s="9" t="s">
        <v>126</v>
      </c>
      <c r="I2" s="9" t="s">
        <v>123</v>
      </c>
      <c r="J2" s="40" t="s">
        <v>124</v>
      </c>
      <c r="K2" s="9" t="s">
        <v>2</v>
      </c>
    </row>
    <row r="3" spans="1:34">
      <c r="A3" s="8">
        <v>1</v>
      </c>
      <c r="B3" s="9">
        <v>2</v>
      </c>
      <c r="C3" s="8">
        <v>3</v>
      </c>
      <c r="D3" s="8">
        <v>4</v>
      </c>
      <c r="E3" s="8">
        <v>5</v>
      </c>
      <c r="F3" s="9">
        <v>6</v>
      </c>
      <c r="G3" s="9">
        <v>7</v>
      </c>
      <c r="K3" s="9">
        <v>8</v>
      </c>
    </row>
    <row r="4" spans="1:34" s="15" customFormat="1">
      <c r="A4" s="17" t="s">
        <v>4</v>
      </c>
      <c r="B4" s="18"/>
      <c r="C4" s="19"/>
      <c r="D4" s="19"/>
      <c r="E4" s="22"/>
      <c r="F4" s="22"/>
      <c r="G4" s="22"/>
      <c r="H4" s="22"/>
      <c r="I4" s="22"/>
      <c r="J4" s="41"/>
      <c r="K4" s="22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1:34" s="15" customFormat="1" ht="135.75" customHeight="1">
      <c r="A5" s="30" t="s">
        <v>25</v>
      </c>
      <c r="B5" s="31" t="s">
        <v>26</v>
      </c>
      <c r="C5" s="32">
        <v>11150.8</v>
      </c>
      <c r="D5" s="33" t="s">
        <v>19</v>
      </c>
      <c r="E5" s="34" t="s">
        <v>22</v>
      </c>
      <c r="F5" s="49" t="s">
        <v>112</v>
      </c>
      <c r="G5" s="47" t="s">
        <v>130</v>
      </c>
      <c r="H5" s="48" t="s">
        <v>133</v>
      </c>
      <c r="I5" s="38" t="s">
        <v>127</v>
      </c>
      <c r="J5" s="46" t="s">
        <v>128</v>
      </c>
      <c r="K5" s="52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1:34" s="15" customFormat="1" ht="135" customHeight="1">
      <c r="A6" s="30" t="s">
        <v>27</v>
      </c>
      <c r="B6" s="31" t="s">
        <v>28</v>
      </c>
      <c r="C6" s="32">
        <v>2176.5</v>
      </c>
      <c r="D6" s="33" t="s">
        <v>19</v>
      </c>
      <c r="E6" s="34" t="s">
        <v>22</v>
      </c>
      <c r="F6" s="50"/>
      <c r="G6" s="47" t="s">
        <v>130</v>
      </c>
      <c r="H6" s="39" t="s">
        <v>129</v>
      </c>
      <c r="I6" s="38" t="s">
        <v>127</v>
      </c>
      <c r="J6" s="46" t="s">
        <v>132</v>
      </c>
      <c r="K6" s="5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s="15" customFormat="1" ht="101.25" customHeight="1">
      <c r="A7" s="30" t="s">
        <v>29</v>
      </c>
      <c r="B7" s="31" t="s">
        <v>30</v>
      </c>
      <c r="C7" s="32">
        <v>6033</v>
      </c>
      <c r="D7" s="33" t="s">
        <v>19</v>
      </c>
      <c r="E7" s="34" t="s">
        <v>22</v>
      </c>
      <c r="F7" s="51"/>
      <c r="G7" s="47" t="s">
        <v>130</v>
      </c>
      <c r="H7" s="39" t="s">
        <v>134</v>
      </c>
      <c r="I7" s="38" t="s">
        <v>127</v>
      </c>
      <c r="J7" s="46" t="s">
        <v>132</v>
      </c>
      <c r="K7" s="5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s="15" customFormat="1">
      <c r="A8" s="30" t="s">
        <v>31</v>
      </c>
      <c r="B8" s="31" t="s">
        <v>32</v>
      </c>
      <c r="C8" s="32">
        <v>55</v>
      </c>
      <c r="D8" s="32" t="s">
        <v>17</v>
      </c>
      <c r="E8" s="34" t="s">
        <v>24</v>
      </c>
      <c r="F8" s="35"/>
      <c r="G8" s="35"/>
      <c r="H8" s="35"/>
      <c r="I8" s="35"/>
      <c r="J8" s="42"/>
      <c r="K8" s="35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15" customFormat="1">
      <c r="A9" s="30" t="s">
        <v>33</v>
      </c>
      <c r="B9" s="31" t="s">
        <v>34</v>
      </c>
      <c r="C9" s="32">
        <v>55</v>
      </c>
      <c r="D9" s="32" t="s">
        <v>17</v>
      </c>
      <c r="E9" s="34" t="s">
        <v>24</v>
      </c>
      <c r="F9" s="35"/>
      <c r="G9" s="35"/>
      <c r="H9" s="35"/>
      <c r="I9" s="35"/>
      <c r="J9" s="42"/>
      <c r="K9" s="35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s="15" customFormat="1">
      <c r="A10" s="30" t="s">
        <v>35</v>
      </c>
      <c r="B10" s="31" t="s">
        <v>36</v>
      </c>
      <c r="C10" s="32">
        <v>55</v>
      </c>
      <c r="D10" s="32" t="s">
        <v>17</v>
      </c>
      <c r="E10" s="34" t="s">
        <v>24</v>
      </c>
      <c r="F10" s="35"/>
      <c r="G10" s="35"/>
      <c r="H10" s="35"/>
      <c r="I10" s="35"/>
      <c r="J10" s="42"/>
      <c r="K10" s="35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15" customFormat="1">
      <c r="A11" s="30" t="s">
        <v>37</v>
      </c>
      <c r="B11" s="31" t="s">
        <v>38</v>
      </c>
      <c r="C11" s="32">
        <v>55</v>
      </c>
      <c r="D11" s="32" t="s">
        <v>17</v>
      </c>
      <c r="E11" s="34" t="s">
        <v>24</v>
      </c>
      <c r="F11" s="35"/>
      <c r="G11" s="35"/>
      <c r="H11" s="35"/>
      <c r="I11" s="35"/>
      <c r="J11" s="42"/>
      <c r="K11" s="35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s="15" customFormat="1">
      <c r="A12" s="30" t="s">
        <v>39</v>
      </c>
      <c r="B12" s="31" t="s">
        <v>40</v>
      </c>
      <c r="C12" s="32">
        <v>122</v>
      </c>
      <c r="D12" s="32" t="s">
        <v>111</v>
      </c>
      <c r="E12" s="34" t="s">
        <v>22</v>
      </c>
      <c r="F12" s="35" t="s">
        <v>113</v>
      </c>
      <c r="G12" s="35" t="s">
        <v>136</v>
      </c>
      <c r="H12" s="35"/>
      <c r="I12" s="35"/>
      <c r="J12" s="42"/>
      <c r="K12" s="35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5" customFormat="1">
      <c r="A13" s="30" t="s">
        <v>41</v>
      </c>
      <c r="B13" s="31" t="s">
        <v>40</v>
      </c>
      <c r="C13" s="32">
        <v>122</v>
      </c>
      <c r="D13" s="32" t="s">
        <v>111</v>
      </c>
      <c r="E13" s="34" t="s">
        <v>22</v>
      </c>
      <c r="F13" s="35" t="s">
        <v>113</v>
      </c>
      <c r="G13" s="35" t="s">
        <v>136</v>
      </c>
      <c r="H13" s="35"/>
      <c r="I13" s="35"/>
      <c r="J13" s="42"/>
      <c r="K13" s="35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s="15" customFormat="1">
      <c r="A14" s="30" t="s">
        <v>42</v>
      </c>
      <c r="B14" s="31" t="s">
        <v>40</v>
      </c>
      <c r="C14" s="32">
        <v>122</v>
      </c>
      <c r="D14" s="32" t="s">
        <v>111</v>
      </c>
      <c r="E14" s="34" t="s">
        <v>22</v>
      </c>
      <c r="F14" s="35" t="s">
        <v>113</v>
      </c>
      <c r="G14" s="35" t="s">
        <v>136</v>
      </c>
      <c r="H14" s="35"/>
      <c r="I14" s="35"/>
      <c r="J14" s="42"/>
      <c r="K14" s="3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s="15" customFormat="1">
      <c r="A15" s="30" t="s">
        <v>43</v>
      </c>
      <c r="B15" s="31" t="s">
        <v>40</v>
      </c>
      <c r="C15" s="32">
        <v>122</v>
      </c>
      <c r="D15" s="32" t="s">
        <v>111</v>
      </c>
      <c r="E15" s="34" t="s">
        <v>22</v>
      </c>
      <c r="F15" s="35" t="s">
        <v>113</v>
      </c>
      <c r="G15" s="35" t="s">
        <v>136</v>
      </c>
      <c r="H15" s="35"/>
      <c r="I15" s="35"/>
      <c r="J15" s="42"/>
      <c r="K15" s="35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s="15" customFormat="1">
      <c r="A16" s="30">
        <v>112</v>
      </c>
      <c r="B16" s="31" t="s">
        <v>14</v>
      </c>
      <c r="C16" s="32">
        <v>7.2</v>
      </c>
      <c r="D16" s="36" t="s">
        <v>20</v>
      </c>
      <c r="E16" s="34" t="s">
        <v>24</v>
      </c>
      <c r="F16" s="35"/>
      <c r="G16" s="35"/>
      <c r="H16" s="35"/>
      <c r="I16" s="35"/>
      <c r="J16" s="42"/>
      <c r="K16" s="35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15" customFormat="1">
      <c r="A17" s="30" t="s">
        <v>44</v>
      </c>
      <c r="B17" s="31" t="s">
        <v>45</v>
      </c>
      <c r="C17" s="32">
        <v>236.3</v>
      </c>
      <c r="D17" s="32" t="s">
        <v>21</v>
      </c>
      <c r="E17" s="34" t="s">
        <v>22</v>
      </c>
      <c r="F17" s="35" t="s">
        <v>114</v>
      </c>
      <c r="G17" s="35" t="s">
        <v>136</v>
      </c>
      <c r="H17" s="35"/>
      <c r="I17" s="35"/>
      <c r="J17" s="42"/>
      <c r="K17" s="35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s="15" customFormat="1">
      <c r="A18" s="30">
        <v>114</v>
      </c>
      <c r="B18" s="31" t="s">
        <v>46</v>
      </c>
      <c r="C18" s="32">
        <v>450.3</v>
      </c>
      <c r="D18" s="32" t="s">
        <v>18</v>
      </c>
      <c r="E18" s="34" t="s">
        <v>22</v>
      </c>
      <c r="F18" s="35" t="s">
        <v>113</v>
      </c>
      <c r="G18" s="35" t="s">
        <v>136</v>
      </c>
      <c r="H18" s="35"/>
      <c r="I18" s="35"/>
      <c r="J18" s="42"/>
      <c r="K18" s="35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s="15" customFormat="1">
      <c r="A19" s="30">
        <v>115</v>
      </c>
      <c r="B19" s="31" t="s">
        <v>14</v>
      </c>
      <c r="C19" s="32">
        <v>7.2</v>
      </c>
      <c r="D19" s="36" t="s">
        <v>20</v>
      </c>
      <c r="E19" s="34" t="s">
        <v>24</v>
      </c>
      <c r="F19" s="34"/>
      <c r="G19" s="35"/>
      <c r="H19" s="35"/>
      <c r="I19" s="35"/>
      <c r="J19" s="42"/>
      <c r="K19" s="35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s="15" customFormat="1">
      <c r="A20" s="30" t="s">
        <v>47</v>
      </c>
      <c r="B20" s="31" t="s">
        <v>45</v>
      </c>
      <c r="C20" s="32">
        <v>236.3</v>
      </c>
      <c r="D20" s="32" t="s">
        <v>21</v>
      </c>
      <c r="E20" s="34" t="s">
        <v>22</v>
      </c>
      <c r="F20" s="35" t="s">
        <v>114</v>
      </c>
      <c r="G20" s="35" t="s">
        <v>136</v>
      </c>
      <c r="H20" s="35"/>
      <c r="I20" s="35"/>
      <c r="J20" s="42"/>
      <c r="K20" s="3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>
      <c r="A21" s="20" t="s">
        <v>69</v>
      </c>
      <c r="B21" s="18"/>
      <c r="C21" s="21"/>
      <c r="D21" s="22"/>
      <c r="E21" s="22"/>
      <c r="F21" s="22"/>
      <c r="G21" s="26"/>
      <c r="H21" s="26"/>
      <c r="I21" s="26"/>
      <c r="J21" s="43"/>
      <c r="K21" s="26"/>
    </row>
    <row r="22" spans="1:34">
      <c r="A22" s="30" t="s">
        <v>70</v>
      </c>
      <c r="B22" s="31" t="s">
        <v>71</v>
      </c>
      <c r="C22" s="32">
        <v>236.3</v>
      </c>
      <c r="D22" s="34" t="s">
        <v>21</v>
      </c>
      <c r="E22" s="34" t="s">
        <v>24</v>
      </c>
      <c r="F22" s="35" t="s">
        <v>113</v>
      </c>
      <c r="G22" s="35" t="s">
        <v>136</v>
      </c>
      <c r="H22" s="35"/>
      <c r="I22" s="35"/>
      <c r="J22" s="42"/>
      <c r="K22" s="35"/>
    </row>
    <row r="23" spans="1:34">
      <c r="A23" s="30" t="s">
        <v>72</v>
      </c>
      <c r="B23" s="31" t="s">
        <v>71</v>
      </c>
      <c r="C23" s="32">
        <v>236.3</v>
      </c>
      <c r="D23" s="34" t="s">
        <v>21</v>
      </c>
      <c r="E23" s="34" t="s">
        <v>24</v>
      </c>
      <c r="F23" s="35" t="s">
        <v>113</v>
      </c>
      <c r="G23" s="35" t="s">
        <v>136</v>
      </c>
      <c r="H23" s="35"/>
      <c r="I23" s="35"/>
      <c r="J23" s="42"/>
      <c r="K23" s="35"/>
    </row>
    <row r="24" spans="1:34">
      <c r="A24" s="20" t="s">
        <v>85</v>
      </c>
      <c r="B24" s="18"/>
      <c r="C24" s="21"/>
      <c r="D24" s="22"/>
      <c r="E24" s="22"/>
      <c r="F24" s="22"/>
      <c r="G24" s="26"/>
      <c r="H24" s="26"/>
      <c r="I24" s="26"/>
      <c r="J24" s="43"/>
      <c r="K24" s="26"/>
    </row>
    <row r="25" spans="1:34">
      <c r="A25" s="30">
        <v>216</v>
      </c>
      <c r="B25" s="31" t="s">
        <v>86</v>
      </c>
      <c r="C25" s="32">
        <v>129</v>
      </c>
      <c r="D25" s="34" t="s">
        <v>18</v>
      </c>
      <c r="E25" s="34" t="s">
        <v>22</v>
      </c>
      <c r="F25" s="35" t="s">
        <v>113</v>
      </c>
      <c r="G25" s="35" t="s">
        <v>136</v>
      </c>
      <c r="H25" s="35"/>
      <c r="I25" s="35"/>
      <c r="J25" s="42"/>
      <c r="K25" s="35"/>
    </row>
    <row r="26" spans="1:34">
      <c r="A26" s="30">
        <v>217</v>
      </c>
      <c r="B26" s="31" t="s">
        <v>87</v>
      </c>
      <c r="C26" s="32">
        <v>41.8</v>
      </c>
      <c r="D26" s="36" t="s">
        <v>20</v>
      </c>
      <c r="E26" s="34" t="s">
        <v>22</v>
      </c>
      <c r="F26" s="35" t="s">
        <v>113</v>
      </c>
      <c r="G26" s="35" t="s">
        <v>136</v>
      </c>
      <c r="H26" s="35"/>
      <c r="I26" s="35"/>
      <c r="J26" s="42"/>
      <c r="K26" s="35"/>
    </row>
    <row r="27" spans="1:34">
      <c r="A27" s="30">
        <v>218</v>
      </c>
      <c r="B27" s="31" t="s">
        <v>5</v>
      </c>
      <c r="C27" s="32">
        <v>24.9</v>
      </c>
      <c r="D27" s="36" t="s">
        <v>20</v>
      </c>
      <c r="E27" s="34" t="s">
        <v>24</v>
      </c>
      <c r="F27" s="34"/>
      <c r="G27" s="35"/>
      <c r="H27" s="35"/>
      <c r="I27" s="35"/>
      <c r="J27" s="42"/>
      <c r="K27" s="35"/>
    </row>
    <row r="28" spans="1:34">
      <c r="A28" s="30">
        <v>219</v>
      </c>
      <c r="B28" s="31" t="s">
        <v>10</v>
      </c>
      <c r="C28" s="32">
        <v>248.6</v>
      </c>
      <c r="D28" s="34"/>
      <c r="E28" s="34" t="s">
        <v>24</v>
      </c>
      <c r="F28" s="34"/>
      <c r="G28" s="35"/>
      <c r="H28" s="35"/>
      <c r="I28" s="35"/>
      <c r="J28" s="42"/>
      <c r="K28" s="35"/>
    </row>
    <row r="29" spans="1:34">
      <c r="A29" s="30">
        <v>337</v>
      </c>
      <c r="B29" s="31" t="s">
        <v>10</v>
      </c>
      <c r="C29" s="32">
        <v>238.6</v>
      </c>
      <c r="D29" s="23"/>
      <c r="E29" s="34" t="s">
        <v>24</v>
      </c>
      <c r="F29" s="34"/>
      <c r="G29" s="35"/>
      <c r="H29" s="35"/>
      <c r="I29" s="35"/>
      <c r="J29" s="42"/>
      <c r="K29" s="35"/>
    </row>
    <row r="30" spans="1:34">
      <c r="A30" s="30">
        <v>338</v>
      </c>
      <c r="B30" s="31" t="s">
        <v>10</v>
      </c>
      <c r="C30" s="32">
        <v>238.6</v>
      </c>
      <c r="D30" s="23"/>
      <c r="E30" s="34" t="s">
        <v>24</v>
      </c>
      <c r="F30" s="34"/>
      <c r="G30" s="35"/>
      <c r="H30" s="35"/>
      <c r="I30" s="35"/>
      <c r="J30" s="42"/>
      <c r="K30" s="35"/>
    </row>
    <row r="31" spans="1:34" s="15" customFormat="1">
      <c r="A31" s="3"/>
      <c r="B31" s="28" t="s">
        <v>121</v>
      </c>
      <c r="C31" s="29">
        <f>SUMIF($D$5:$D$30,"А",$C$5:$C$30)/SUM($C$5:$C$30)</f>
        <v>2.1786006062581201E-2</v>
      </c>
      <c r="D31" s="13"/>
      <c r="E31" s="13"/>
      <c r="F31" s="13"/>
      <c r="G31" s="24"/>
      <c r="H31" s="24"/>
      <c r="I31" s="24"/>
      <c r="J31" s="44"/>
      <c r="K31" s="2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s="15" customFormat="1">
      <c r="A32" s="3"/>
      <c r="B32" s="28" t="s">
        <v>122</v>
      </c>
      <c r="C32" s="29">
        <f>SUMIF($D$5:$D$30,"Б",$C$5:$C$30)/SUM($C$5:$C$30)</f>
        <v>0</v>
      </c>
      <c r="D32" s="13"/>
      <c r="E32" s="13"/>
      <c r="F32" s="13"/>
      <c r="G32" s="24"/>
      <c r="H32" s="24"/>
      <c r="I32" s="24"/>
      <c r="J32" s="44"/>
      <c r="K32" s="2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B33" s="28" t="s">
        <v>116</v>
      </c>
      <c r="C33" s="29">
        <f>SUMIF($D$5:$D$30,"В1",$C$5:$C$30)/SUM($C$5:$C$30)</f>
        <v>4.2196993709737202E-2</v>
      </c>
      <c r="G33" s="25"/>
      <c r="H33" s="25"/>
      <c r="I33" s="25"/>
      <c r="J33" s="45"/>
      <c r="K33" s="25"/>
    </row>
    <row r="34" spans="1:34">
      <c r="B34" s="28" t="s">
        <v>117</v>
      </c>
      <c r="C34" s="29">
        <f>SUMIF($D$5:$D$30,"В2",$C$5:$C$30)/SUM($C$5:$C$30)</f>
        <v>0.86431068273235823</v>
      </c>
      <c r="D34" s="27"/>
      <c r="G34" s="25"/>
      <c r="H34" s="25"/>
      <c r="I34" s="25"/>
      <c r="J34" s="45"/>
      <c r="K34" s="25"/>
    </row>
    <row r="35" spans="1:34">
      <c r="B35" s="28" t="s">
        <v>118</v>
      </c>
      <c r="C35" s="29">
        <f>SUMIF($D$5:$D$30,"В3",$C$5:$C$30)/SUM($C$5:$C$30)</f>
        <v>2.5861953508305922E-2</v>
      </c>
      <c r="G35" s="25"/>
      <c r="H35" s="25"/>
      <c r="I35" s="25"/>
      <c r="J35" s="45"/>
      <c r="K35" s="25"/>
    </row>
    <row r="36" spans="1:34">
      <c r="B36" s="28" t="s">
        <v>119</v>
      </c>
      <c r="C36" s="29">
        <f>SUMIF($D$5:$D$30,"В4",$C$5:$C$30)/SUM($C$5:$C$30)</f>
        <v>9.8215601101800491E-3</v>
      </c>
      <c r="G36" s="25"/>
      <c r="H36" s="25"/>
      <c r="I36" s="25"/>
      <c r="J36" s="45"/>
      <c r="K36" s="25"/>
    </row>
    <row r="37" spans="1:34">
      <c r="B37" s="28" t="s">
        <v>120</v>
      </c>
      <c r="C37" s="29">
        <f>SUMIF($E$5:$E$30,"Да",$C$5:$C$30)/SUM($C$5:$C$30)</f>
        <v>0.934923235579048</v>
      </c>
      <c r="G37" s="25"/>
      <c r="H37" s="25"/>
      <c r="I37" s="25"/>
      <c r="J37" s="45"/>
      <c r="K37" s="25"/>
    </row>
    <row r="38" spans="1:34" s="15" customFormat="1">
      <c r="A38" s="17" t="s">
        <v>4</v>
      </c>
      <c r="B38" s="18"/>
      <c r="C38" s="19"/>
      <c r="D38" s="19"/>
      <c r="E38" s="22"/>
      <c r="F38" s="22"/>
      <c r="G38" s="22"/>
      <c r="H38" s="22"/>
      <c r="I38" s="22"/>
      <c r="J38" s="41"/>
      <c r="K38" s="22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s="15" customFormat="1">
      <c r="A39" s="3">
        <v>117</v>
      </c>
      <c r="B39" s="4" t="s">
        <v>7</v>
      </c>
      <c r="C39" s="6">
        <v>1022.2</v>
      </c>
      <c r="D39" s="16" t="s">
        <v>20</v>
      </c>
      <c r="E39" s="13" t="s">
        <v>24</v>
      </c>
      <c r="F39" s="13"/>
      <c r="G39" s="24"/>
      <c r="H39" s="24"/>
      <c r="I39" s="24"/>
      <c r="J39" s="44"/>
      <c r="K39" s="2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s="15" customFormat="1">
      <c r="A40" s="3">
        <v>118</v>
      </c>
      <c r="B40" s="4" t="s">
        <v>6</v>
      </c>
      <c r="C40" s="6">
        <v>20.6</v>
      </c>
      <c r="D40" s="16" t="s">
        <v>20</v>
      </c>
      <c r="E40" s="13" t="s">
        <v>24</v>
      </c>
      <c r="F40" s="13"/>
      <c r="G40" s="24"/>
      <c r="H40" s="24"/>
      <c r="I40" s="24"/>
      <c r="J40" s="44"/>
      <c r="K40" s="2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s="15" customFormat="1">
      <c r="A41" s="3">
        <v>119</v>
      </c>
      <c r="B41" s="4" t="s">
        <v>48</v>
      </c>
      <c r="C41" s="6">
        <v>14.6</v>
      </c>
      <c r="D41" s="16" t="s">
        <v>20</v>
      </c>
      <c r="E41" s="13" t="s">
        <v>24</v>
      </c>
      <c r="F41" s="13"/>
      <c r="G41" s="24"/>
      <c r="H41" s="24"/>
      <c r="I41" s="24"/>
      <c r="J41" s="44"/>
      <c r="K41" s="2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s="15" customFormat="1">
      <c r="A42" s="3">
        <v>120</v>
      </c>
      <c r="B42" s="4" t="s">
        <v>49</v>
      </c>
      <c r="C42" s="6">
        <v>24.4</v>
      </c>
      <c r="D42" s="16" t="s">
        <v>20</v>
      </c>
      <c r="E42" s="13" t="s">
        <v>24</v>
      </c>
      <c r="F42" s="13"/>
      <c r="G42" s="24"/>
      <c r="H42" s="24"/>
      <c r="I42" s="24"/>
      <c r="J42" s="44"/>
      <c r="K42" s="2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15" customFormat="1">
      <c r="A43" s="3">
        <v>121</v>
      </c>
      <c r="B43" s="4" t="s">
        <v>14</v>
      </c>
      <c r="C43" s="6">
        <v>6.5</v>
      </c>
      <c r="D43" s="16" t="s">
        <v>20</v>
      </c>
      <c r="E43" s="13" t="s">
        <v>24</v>
      </c>
      <c r="F43" s="13"/>
      <c r="G43" s="24"/>
      <c r="H43" s="24"/>
      <c r="I43" s="24"/>
      <c r="J43" s="44"/>
      <c r="K43" s="2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s="15" customFormat="1">
      <c r="A44" s="3">
        <v>122</v>
      </c>
      <c r="B44" s="4" t="s">
        <v>50</v>
      </c>
      <c r="C44" s="6">
        <v>40.299999999999997</v>
      </c>
      <c r="D44" s="16" t="s">
        <v>20</v>
      </c>
      <c r="E44" s="13" t="s">
        <v>24</v>
      </c>
      <c r="F44" s="13"/>
      <c r="G44" s="24"/>
      <c r="H44" s="24"/>
      <c r="I44" s="24"/>
      <c r="J44" s="44"/>
      <c r="K44" s="2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s="15" customFormat="1">
      <c r="A45" s="3">
        <v>123</v>
      </c>
      <c r="B45" s="4" t="s">
        <v>10</v>
      </c>
      <c r="C45" s="6">
        <v>28.2</v>
      </c>
      <c r="D45" s="7"/>
      <c r="E45" s="13" t="s">
        <v>24</v>
      </c>
      <c r="F45" s="13"/>
      <c r="G45" s="24"/>
      <c r="H45" s="24"/>
      <c r="I45" s="24"/>
      <c r="J45" s="44"/>
      <c r="K45" s="2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s="15" customFormat="1">
      <c r="A46" s="3">
        <v>124</v>
      </c>
      <c r="B46" s="4" t="s">
        <v>11</v>
      </c>
      <c r="C46" s="6">
        <v>8.6999999999999993</v>
      </c>
      <c r="D46" s="6" t="s">
        <v>21</v>
      </c>
      <c r="E46" s="13" t="s">
        <v>24</v>
      </c>
      <c r="F46" s="13"/>
      <c r="G46" s="24"/>
      <c r="H46" s="24"/>
      <c r="I46" s="24"/>
      <c r="J46" s="44"/>
      <c r="K46" s="2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15" customFormat="1">
      <c r="A47" s="3">
        <v>125</v>
      </c>
      <c r="B47" s="4" t="s">
        <v>5</v>
      </c>
      <c r="C47" s="6">
        <v>7.9</v>
      </c>
      <c r="D47" s="16" t="s">
        <v>20</v>
      </c>
      <c r="E47" s="13" t="s">
        <v>24</v>
      </c>
      <c r="F47" s="13"/>
      <c r="G47" s="24"/>
      <c r="H47" s="24"/>
      <c r="I47" s="24"/>
      <c r="J47" s="44"/>
      <c r="K47" s="2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s="15" customFormat="1">
      <c r="A48" s="3">
        <v>126</v>
      </c>
      <c r="B48" s="4" t="s">
        <v>51</v>
      </c>
      <c r="C48" s="6">
        <v>60.4</v>
      </c>
      <c r="D48" s="6" t="s">
        <v>17</v>
      </c>
      <c r="E48" s="13" t="s">
        <v>24</v>
      </c>
      <c r="F48" s="13"/>
      <c r="G48" s="24"/>
      <c r="H48" s="24"/>
      <c r="I48" s="24"/>
      <c r="J48" s="44"/>
      <c r="K48" s="2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s="15" customFormat="1">
      <c r="A49" s="3" t="s">
        <v>52</v>
      </c>
      <c r="B49" s="4" t="s">
        <v>53</v>
      </c>
      <c r="C49" s="6">
        <v>208.8</v>
      </c>
      <c r="D49" s="6" t="s">
        <v>21</v>
      </c>
      <c r="E49" s="13" t="s">
        <v>24</v>
      </c>
      <c r="F49" s="13"/>
      <c r="G49" s="24"/>
      <c r="H49" s="24"/>
      <c r="I49" s="24"/>
      <c r="J49" s="44"/>
      <c r="K49" s="2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s="15" customFormat="1">
      <c r="A50" s="3">
        <v>128</v>
      </c>
      <c r="B50" s="4" t="s">
        <v>10</v>
      </c>
      <c r="C50" s="6">
        <v>164.1</v>
      </c>
      <c r="D50" s="7"/>
      <c r="E50" s="13" t="s">
        <v>24</v>
      </c>
      <c r="F50" s="13"/>
      <c r="G50" s="24"/>
      <c r="H50" s="24"/>
      <c r="I50" s="24"/>
      <c r="J50" s="44"/>
      <c r="K50" s="2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s="15" customFormat="1">
      <c r="A51" s="3" t="s">
        <v>54</v>
      </c>
      <c r="B51" s="4" t="s">
        <v>55</v>
      </c>
      <c r="C51" s="6">
        <v>185.5</v>
      </c>
      <c r="D51" s="6" t="s">
        <v>21</v>
      </c>
      <c r="E51" s="13" t="s">
        <v>24</v>
      </c>
      <c r="F51" s="13"/>
      <c r="G51" s="24"/>
      <c r="H51" s="24"/>
      <c r="I51" s="24"/>
      <c r="J51" s="44"/>
      <c r="K51" s="2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s="15" customFormat="1">
      <c r="A52" s="3">
        <v>130</v>
      </c>
      <c r="B52" s="4" t="s">
        <v>10</v>
      </c>
      <c r="C52" s="6">
        <v>28.2</v>
      </c>
      <c r="D52" s="7"/>
      <c r="E52" s="13" t="s">
        <v>24</v>
      </c>
      <c r="F52" s="13"/>
      <c r="G52" s="24"/>
      <c r="H52" s="24"/>
      <c r="I52" s="24"/>
      <c r="J52" s="44"/>
      <c r="K52" s="2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s="15" customFormat="1">
      <c r="A53" s="3">
        <v>131</v>
      </c>
      <c r="B53" s="4" t="s">
        <v>11</v>
      </c>
      <c r="C53" s="6">
        <v>8.6999999999999993</v>
      </c>
      <c r="D53" s="6" t="s">
        <v>21</v>
      </c>
      <c r="E53" s="13" t="s">
        <v>24</v>
      </c>
      <c r="F53" s="13"/>
      <c r="G53" s="24"/>
      <c r="H53" s="24"/>
      <c r="I53" s="24"/>
      <c r="J53" s="44"/>
      <c r="K53" s="2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s="15" customFormat="1">
      <c r="A54" s="3">
        <v>132</v>
      </c>
      <c r="B54" s="4" t="s">
        <v>5</v>
      </c>
      <c r="C54" s="6">
        <v>7.9</v>
      </c>
      <c r="D54" s="16" t="s">
        <v>20</v>
      </c>
      <c r="E54" s="13" t="s">
        <v>24</v>
      </c>
      <c r="F54" s="13"/>
      <c r="G54" s="24"/>
      <c r="H54" s="24"/>
      <c r="I54" s="24"/>
      <c r="J54" s="44"/>
      <c r="K54" s="2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s="15" customFormat="1">
      <c r="A55" s="1">
        <v>133</v>
      </c>
      <c r="B55" s="2" t="s">
        <v>56</v>
      </c>
      <c r="C55" s="5">
        <v>60.4</v>
      </c>
      <c r="D55" s="6" t="s">
        <v>17</v>
      </c>
      <c r="E55" s="13" t="s">
        <v>24</v>
      </c>
      <c r="F55" s="13"/>
      <c r="G55" s="24"/>
      <c r="H55" s="24"/>
      <c r="I55" s="24"/>
      <c r="J55" s="44"/>
      <c r="K55" s="2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s="15" customFormat="1">
      <c r="A56" s="1">
        <v>134</v>
      </c>
      <c r="B56" s="2" t="s">
        <v>57</v>
      </c>
      <c r="C56" s="5">
        <v>58.6</v>
      </c>
      <c r="D56" s="6" t="s">
        <v>21</v>
      </c>
      <c r="E56" s="13" t="s">
        <v>24</v>
      </c>
      <c r="F56" s="13"/>
      <c r="G56" s="24"/>
      <c r="H56" s="24"/>
      <c r="I56" s="24"/>
      <c r="J56" s="44"/>
      <c r="K56" s="2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s="15" customFormat="1">
      <c r="A57" s="3">
        <v>135</v>
      </c>
      <c r="B57" s="4" t="s">
        <v>14</v>
      </c>
      <c r="C57" s="6">
        <v>8.1999999999999993</v>
      </c>
      <c r="D57" s="16" t="s">
        <v>20</v>
      </c>
      <c r="E57" s="13" t="s">
        <v>24</v>
      </c>
      <c r="F57" s="13"/>
      <c r="G57" s="24"/>
      <c r="H57" s="24"/>
      <c r="I57" s="24"/>
      <c r="J57" s="44"/>
      <c r="K57" s="2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s="15" customFormat="1">
      <c r="A58" s="3">
        <v>136</v>
      </c>
      <c r="B58" s="4" t="s">
        <v>48</v>
      </c>
      <c r="C58" s="6">
        <v>6.7</v>
      </c>
      <c r="D58" s="16" t="s">
        <v>20</v>
      </c>
      <c r="E58" s="13" t="s">
        <v>24</v>
      </c>
      <c r="F58" s="13"/>
      <c r="G58" s="24"/>
      <c r="H58" s="24"/>
      <c r="I58" s="24"/>
      <c r="J58" s="44"/>
      <c r="K58" s="2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s="15" customFormat="1">
      <c r="A59" s="3">
        <v>137</v>
      </c>
      <c r="B59" s="4" t="s">
        <v>6</v>
      </c>
      <c r="C59" s="6">
        <v>17</v>
      </c>
      <c r="D59" s="16" t="s">
        <v>20</v>
      </c>
      <c r="E59" s="13" t="s">
        <v>24</v>
      </c>
      <c r="F59" s="13"/>
      <c r="G59" s="24"/>
      <c r="H59" s="24"/>
      <c r="I59" s="24"/>
      <c r="J59" s="44"/>
      <c r="K59" s="2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s="15" customFormat="1">
      <c r="A60" s="3" t="s">
        <v>58</v>
      </c>
      <c r="B60" s="4" t="s">
        <v>59</v>
      </c>
      <c r="C60" s="6">
        <v>131.6</v>
      </c>
      <c r="D60" s="6" t="s">
        <v>21</v>
      </c>
      <c r="E60" s="13" t="s">
        <v>24</v>
      </c>
      <c r="F60" s="13"/>
      <c r="G60" s="24"/>
      <c r="H60" s="24"/>
      <c r="I60" s="24"/>
      <c r="J60" s="44"/>
      <c r="K60" s="2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s="15" customFormat="1">
      <c r="A61" s="3" t="s">
        <v>60</v>
      </c>
      <c r="B61" s="4" t="s">
        <v>61</v>
      </c>
      <c r="C61" s="6">
        <v>196.1</v>
      </c>
      <c r="D61" s="6" t="s">
        <v>21</v>
      </c>
      <c r="E61" s="13" t="s">
        <v>24</v>
      </c>
      <c r="F61" s="13"/>
      <c r="G61" s="24"/>
      <c r="H61" s="24"/>
      <c r="I61" s="24"/>
      <c r="J61" s="44"/>
      <c r="K61" s="2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1:34" s="15" customFormat="1">
      <c r="A62" s="3">
        <v>140</v>
      </c>
      <c r="B62" s="4" t="s">
        <v>10</v>
      </c>
      <c r="C62" s="6">
        <v>28.2</v>
      </c>
      <c r="D62" s="7"/>
      <c r="E62" s="13" t="s">
        <v>24</v>
      </c>
      <c r="F62" s="13"/>
      <c r="G62" s="24"/>
      <c r="H62" s="24"/>
      <c r="I62" s="24"/>
      <c r="J62" s="44"/>
      <c r="K62" s="2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s="15" customFormat="1">
      <c r="A63" s="3">
        <v>141</v>
      </c>
      <c r="B63" s="4" t="s">
        <v>11</v>
      </c>
      <c r="C63" s="6">
        <v>8.6999999999999993</v>
      </c>
      <c r="D63" s="6" t="s">
        <v>21</v>
      </c>
      <c r="E63" s="13" t="s">
        <v>24</v>
      </c>
      <c r="F63" s="13"/>
      <c r="G63" s="24"/>
      <c r="H63" s="24"/>
      <c r="I63" s="24"/>
      <c r="J63" s="44"/>
      <c r="K63" s="2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s="15" customFormat="1">
      <c r="A64" s="3">
        <v>142</v>
      </c>
      <c r="B64" s="4" t="s">
        <v>5</v>
      </c>
      <c r="C64" s="6">
        <v>7.9</v>
      </c>
      <c r="D64" s="16" t="s">
        <v>20</v>
      </c>
      <c r="E64" s="13" t="s">
        <v>24</v>
      </c>
      <c r="F64" s="13"/>
      <c r="G64" s="24"/>
      <c r="H64" s="24"/>
      <c r="I64" s="24"/>
      <c r="J64" s="44"/>
      <c r="K64" s="2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s="15" customFormat="1">
      <c r="A65" s="3">
        <v>143</v>
      </c>
      <c r="B65" s="4" t="s">
        <v>62</v>
      </c>
      <c r="C65" s="6">
        <v>60.4</v>
      </c>
      <c r="D65" s="6" t="s">
        <v>17</v>
      </c>
      <c r="E65" s="13" t="s">
        <v>24</v>
      </c>
      <c r="F65" s="13"/>
      <c r="G65" s="24"/>
      <c r="H65" s="24"/>
      <c r="I65" s="24"/>
      <c r="J65" s="44"/>
      <c r="K65" s="2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s="15" customFormat="1">
      <c r="A66" s="3" t="s">
        <v>63</v>
      </c>
      <c r="B66" s="4" t="s">
        <v>12</v>
      </c>
      <c r="C66" s="6">
        <v>231.1</v>
      </c>
      <c r="D66" s="6" t="s">
        <v>21</v>
      </c>
      <c r="E66" s="13" t="s">
        <v>24</v>
      </c>
      <c r="F66" s="13"/>
      <c r="G66" s="24"/>
      <c r="H66" s="24"/>
      <c r="I66" s="24"/>
      <c r="J66" s="44"/>
      <c r="K66" s="2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s="15" customFormat="1">
      <c r="A67" s="3" t="s">
        <v>64</v>
      </c>
      <c r="B67" s="4" t="s">
        <v>65</v>
      </c>
      <c r="C67" s="6">
        <v>243.5</v>
      </c>
      <c r="D67" s="6" t="s">
        <v>21</v>
      </c>
      <c r="E67" s="13" t="s">
        <v>24</v>
      </c>
      <c r="F67" s="13"/>
      <c r="G67" s="24"/>
      <c r="H67" s="24"/>
      <c r="I67" s="24"/>
      <c r="J67" s="44"/>
      <c r="K67" s="2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s="15" customFormat="1">
      <c r="A68" s="3">
        <v>146</v>
      </c>
      <c r="B68" s="4" t="s">
        <v>66</v>
      </c>
      <c r="C68" s="6">
        <v>60.4</v>
      </c>
      <c r="D68" s="6" t="s">
        <v>17</v>
      </c>
      <c r="E68" s="13" t="s">
        <v>24</v>
      </c>
      <c r="F68" s="13"/>
      <c r="G68" s="24"/>
      <c r="H68" s="24"/>
      <c r="I68" s="24"/>
      <c r="J68" s="44"/>
      <c r="K68" s="2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s="15" customFormat="1">
      <c r="A69" s="3">
        <v>147</v>
      </c>
      <c r="B69" s="4" t="s">
        <v>10</v>
      </c>
      <c r="C69" s="6">
        <v>28.2</v>
      </c>
      <c r="D69" s="7"/>
      <c r="E69" s="13" t="s">
        <v>24</v>
      </c>
      <c r="F69" s="13"/>
      <c r="G69" s="24"/>
      <c r="H69" s="24"/>
      <c r="I69" s="24"/>
      <c r="J69" s="44"/>
      <c r="K69" s="2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s="15" customFormat="1">
      <c r="A70" s="3">
        <v>148</v>
      </c>
      <c r="B70" s="4" t="s">
        <v>5</v>
      </c>
      <c r="C70" s="6">
        <v>7.9</v>
      </c>
      <c r="D70" s="16" t="s">
        <v>20</v>
      </c>
      <c r="E70" s="13" t="s">
        <v>24</v>
      </c>
      <c r="F70" s="13"/>
      <c r="G70" s="24"/>
      <c r="H70" s="24"/>
      <c r="I70" s="24"/>
      <c r="J70" s="44"/>
      <c r="K70" s="2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s="15" customFormat="1">
      <c r="A71" s="3">
        <v>149</v>
      </c>
      <c r="B71" s="4" t="s">
        <v>11</v>
      </c>
      <c r="C71" s="6">
        <v>8.6999999999999993</v>
      </c>
      <c r="D71" s="6" t="s">
        <v>21</v>
      </c>
      <c r="E71" s="13" t="s">
        <v>24</v>
      </c>
      <c r="F71" s="13"/>
      <c r="G71" s="24"/>
      <c r="H71" s="24"/>
      <c r="I71" s="24"/>
      <c r="J71" s="44"/>
      <c r="K71" s="2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s="15" customFormat="1">
      <c r="A72" s="3" t="s">
        <v>67</v>
      </c>
      <c r="B72" s="4" t="s">
        <v>68</v>
      </c>
      <c r="C72" s="6">
        <v>225</v>
      </c>
      <c r="D72" s="6" t="s">
        <v>21</v>
      </c>
      <c r="E72" s="13" t="s">
        <v>24</v>
      </c>
      <c r="F72" s="13"/>
      <c r="G72" s="24"/>
      <c r="H72" s="24"/>
      <c r="I72" s="24"/>
      <c r="J72" s="44"/>
      <c r="K72" s="2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s="15" customFormat="1">
      <c r="A73" s="3">
        <v>151</v>
      </c>
      <c r="B73" s="4" t="s">
        <v>14</v>
      </c>
      <c r="C73" s="6">
        <v>8.1</v>
      </c>
      <c r="D73" s="16" t="s">
        <v>20</v>
      </c>
      <c r="E73" s="13" t="s">
        <v>24</v>
      </c>
      <c r="F73" s="13"/>
      <c r="G73" s="24"/>
      <c r="H73" s="24"/>
      <c r="I73" s="24"/>
      <c r="J73" s="44"/>
      <c r="K73" s="2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>
      <c r="A74" s="3">
        <v>152</v>
      </c>
      <c r="B74" s="4" t="s">
        <v>8</v>
      </c>
      <c r="C74" s="6">
        <v>6.5</v>
      </c>
      <c r="D74" s="9" t="s">
        <v>17</v>
      </c>
      <c r="E74" s="13" t="s">
        <v>24</v>
      </c>
      <c r="G74" s="25"/>
      <c r="H74" s="25"/>
      <c r="I74" s="25"/>
      <c r="J74" s="45"/>
      <c r="K74" s="25"/>
    </row>
    <row r="75" spans="1:34">
      <c r="A75" s="3">
        <v>153</v>
      </c>
      <c r="B75" s="4" t="s">
        <v>6</v>
      </c>
      <c r="C75" s="6">
        <v>17</v>
      </c>
      <c r="D75" s="16" t="s">
        <v>20</v>
      </c>
      <c r="E75" s="13" t="s">
        <v>24</v>
      </c>
      <c r="G75" s="25"/>
      <c r="H75" s="25"/>
      <c r="I75" s="25"/>
      <c r="J75" s="45"/>
      <c r="K75" s="25"/>
    </row>
    <row r="76" spans="1:34">
      <c r="A76" s="3">
        <v>154</v>
      </c>
      <c r="B76" s="4" t="s">
        <v>48</v>
      </c>
      <c r="C76" s="6">
        <v>19.5</v>
      </c>
      <c r="D76" s="16" t="s">
        <v>20</v>
      </c>
      <c r="E76" s="13" t="s">
        <v>24</v>
      </c>
      <c r="G76" s="25"/>
      <c r="H76" s="25"/>
      <c r="I76" s="25"/>
      <c r="J76" s="45"/>
      <c r="K76" s="25"/>
    </row>
    <row r="77" spans="1:34">
      <c r="A77" s="20" t="s">
        <v>73</v>
      </c>
      <c r="B77" s="18"/>
      <c r="C77" s="21"/>
      <c r="D77" s="22"/>
      <c r="E77" s="22"/>
      <c r="F77" s="22"/>
      <c r="G77" s="26"/>
      <c r="H77" s="26"/>
      <c r="I77" s="26"/>
      <c r="J77" s="43"/>
      <c r="K77" s="26"/>
    </row>
    <row r="78" spans="1:34">
      <c r="A78" s="3">
        <v>201</v>
      </c>
      <c r="B78" s="4" t="s">
        <v>7</v>
      </c>
      <c r="C78" s="6">
        <v>560.5</v>
      </c>
      <c r="D78" s="16" t="s">
        <v>20</v>
      </c>
      <c r="E78" s="13" t="s">
        <v>24</v>
      </c>
      <c r="G78" s="25"/>
      <c r="H78" s="25"/>
      <c r="I78" s="25"/>
      <c r="J78" s="45"/>
      <c r="K78" s="25"/>
    </row>
    <row r="79" spans="1:34">
      <c r="A79" s="3">
        <v>202</v>
      </c>
      <c r="B79" s="4" t="s">
        <v>57</v>
      </c>
      <c r="C79" s="6">
        <v>45.2</v>
      </c>
      <c r="D79" s="9" t="s">
        <v>21</v>
      </c>
      <c r="E79" s="13" t="s">
        <v>24</v>
      </c>
      <c r="G79" s="24"/>
      <c r="H79" s="25"/>
      <c r="I79" s="25"/>
      <c r="J79" s="45"/>
      <c r="K79" s="25"/>
    </row>
    <row r="80" spans="1:34">
      <c r="A80" s="3" t="s">
        <v>74</v>
      </c>
      <c r="B80" s="4" t="s">
        <v>45</v>
      </c>
      <c r="C80" s="6">
        <v>264.8</v>
      </c>
      <c r="D80" s="9" t="s">
        <v>21</v>
      </c>
      <c r="E80" s="13" t="s">
        <v>22</v>
      </c>
      <c r="F80" s="24" t="s">
        <v>114</v>
      </c>
      <c r="G80" s="24" t="s">
        <v>135</v>
      </c>
      <c r="H80" s="24"/>
      <c r="I80" s="24"/>
      <c r="J80" s="44"/>
      <c r="K80" s="25"/>
    </row>
    <row r="81" spans="1:11">
      <c r="A81" s="3" t="s">
        <v>75</v>
      </c>
      <c r="B81" s="4" t="s">
        <v>45</v>
      </c>
      <c r="C81" s="6">
        <v>219.7</v>
      </c>
      <c r="D81" s="9" t="s">
        <v>21</v>
      </c>
      <c r="E81" s="13" t="s">
        <v>22</v>
      </c>
      <c r="F81" s="24" t="s">
        <v>114</v>
      </c>
      <c r="G81" s="24" t="s">
        <v>135</v>
      </c>
      <c r="H81" s="24"/>
      <c r="I81" s="24"/>
      <c r="J81" s="44"/>
      <c r="K81" s="25"/>
    </row>
    <row r="82" spans="1:11">
      <c r="A82" s="3" t="s">
        <v>76</v>
      </c>
      <c r="B82" s="4" t="s">
        <v>45</v>
      </c>
      <c r="C82" s="6">
        <v>214.8</v>
      </c>
      <c r="D82" s="9" t="s">
        <v>21</v>
      </c>
      <c r="E82" s="13" t="s">
        <v>22</v>
      </c>
      <c r="F82" s="24" t="s">
        <v>114</v>
      </c>
      <c r="G82" s="24" t="s">
        <v>135</v>
      </c>
      <c r="H82" s="24"/>
      <c r="I82" s="24"/>
      <c r="J82" s="44"/>
      <c r="K82" s="25"/>
    </row>
    <row r="83" spans="1:11" ht="16.5" customHeight="1">
      <c r="A83" s="3" t="s">
        <v>77</v>
      </c>
      <c r="B83" s="4" t="s">
        <v>45</v>
      </c>
      <c r="C83" s="6">
        <v>209.3</v>
      </c>
      <c r="D83" s="9" t="s">
        <v>21</v>
      </c>
      <c r="E83" s="13" t="s">
        <v>22</v>
      </c>
      <c r="F83" s="24" t="s">
        <v>114</v>
      </c>
      <c r="G83" s="24" t="s">
        <v>135</v>
      </c>
      <c r="H83" s="24"/>
      <c r="I83" s="24"/>
      <c r="J83" s="44"/>
      <c r="K83" s="37"/>
    </row>
    <row r="84" spans="1:11">
      <c r="A84" s="3" t="s">
        <v>78</v>
      </c>
      <c r="B84" s="4" t="s">
        <v>45</v>
      </c>
      <c r="C84" s="6">
        <v>225</v>
      </c>
      <c r="D84" s="9" t="s">
        <v>21</v>
      </c>
      <c r="E84" s="13" t="s">
        <v>22</v>
      </c>
      <c r="F84" s="24" t="s">
        <v>114</v>
      </c>
      <c r="G84" s="24" t="s">
        <v>135</v>
      </c>
      <c r="H84" s="24"/>
      <c r="I84" s="24"/>
      <c r="J84" s="44"/>
      <c r="K84" s="25"/>
    </row>
    <row r="85" spans="1:11">
      <c r="A85" s="3" t="s">
        <v>79</v>
      </c>
      <c r="B85" s="4" t="s">
        <v>45</v>
      </c>
      <c r="C85" s="6">
        <v>181.2</v>
      </c>
      <c r="D85" s="9" t="s">
        <v>21</v>
      </c>
      <c r="E85" s="13" t="s">
        <v>22</v>
      </c>
      <c r="F85" s="24" t="s">
        <v>114</v>
      </c>
      <c r="G85" s="24" t="s">
        <v>135</v>
      </c>
      <c r="H85" s="24"/>
      <c r="I85" s="24"/>
      <c r="J85" s="44"/>
      <c r="K85" s="25"/>
    </row>
    <row r="86" spans="1:11">
      <c r="A86" s="3" t="s">
        <v>80</v>
      </c>
      <c r="B86" s="4" t="s">
        <v>45</v>
      </c>
      <c r="C86" s="6">
        <v>261.10000000000002</v>
      </c>
      <c r="D86" s="9" t="s">
        <v>21</v>
      </c>
      <c r="E86" s="13" t="s">
        <v>22</v>
      </c>
      <c r="F86" s="24" t="s">
        <v>114</v>
      </c>
      <c r="G86" s="24" t="s">
        <v>135</v>
      </c>
      <c r="H86" s="24"/>
      <c r="I86" s="24"/>
      <c r="J86" s="44"/>
      <c r="K86" s="25"/>
    </row>
    <row r="87" spans="1:11">
      <c r="A87" s="3" t="s">
        <v>81</v>
      </c>
      <c r="B87" s="4" t="s">
        <v>45</v>
      </c>
      <c r="C87" s="6">
        <v>269.89999999999998</v>
      </c>
      <c r="D87" s="9" t="s">
        <v>21</v>
      </c>
      <c r="E87" s="13" t="s">
        <v>22</v>
      </c>
      <c r="F87" s="24" t="s">
        <v>114</v>
      </c>
      <c r="G87" s="24" t="s">
        <v>135</v>
      </c>
      <c r="H87" s="24"/>
      <c r="I87" s="24"/>
      <c r="J87" s="44"/>
      <c r="K87" s="25"/>
    </row>
    <row r="88" spans="1:11">
      <c r="A88" s="3" t="s">
        <v>82</v>
      </c>
      <c r="B88" s="4" t="s">
        <v>45</v>
      </c>
      <c r="C88" s="6">
        <v>312.89999999999998</v>
      </c>
      <c r="D88" s="9" t="s">
        <v>21</v>
      </c>
      <c r="E88" s="13" t="s">
        <v>22</v>
      </c>
      <c r="F88" s="24" t="s">
        <v>114</v>
      </c>
      <c r="G88" s="24" t="s">
        <v>135</v>
      </c>
      <c r="H88" s="24"/>
      <c r="I88" s="24"/>
      <c r="J88" s="44"/>
      <c r="K88" s="25"/>
    </row>
    <row r="89" spans="1:11">
      <c r="A89" s="3" t="s">
        <v>83</v>
      </c>
      <c r="B89" s="4" t="s">
        <v>45</v>
      </c>
      <c r="C89" s="6">
        <v>261</v>
      </c>
      <c r="D89" s="9" t="s">
        <v>21</v>
      </c>
      <c r="E89" s="13" t="s">
        <v>22</v>
      </c>
      <c r="F89" s="24" t="s">
        <v>114</v>
      </c>
      <c r="G89" s="24" t="s">
        <v>135</v>
      </c>
      <c r="H89" s="24"/>
      <c r="I89" s="24"/>
      <c r="J89" s="44"/>
      <c r="K89" s="25"/>
    </row>
    <row r="90" spans="1:11">
      <c r="A90" s="3" t="s">
        <v>84</v>
      </c>
      <c r="B90" s="4" t="s">
        <v>45</v>
      </c>
      <c r="C90" s="6">
        <v>250.8</v>
      </c>
      <c r="D90" s="9" t="s">
        <v>21</v>
      </c>
      <c r="E90" s="13" t="s">
        <v>22</v>
      </c>
      <c r="F90" s="24" t="s">
        <v>114</v>
      </c>
      <c r="G90" s="24" t="s">
        <v>135</v>
      </c>
      <c r="H90" s="24"/>
      <c r="I90" s="24"/>
      <c r="J90" s="44"/>
      <c r="K90" s="25"/>
    </row>
    <row r="91" spans="1:11">
      <c r="A91" s="20" t="s">
        <v>88</v>
      </c>
      <c r="B91" s="18"/>
      <c r="C91" s="21"/>
      <c r="D91" s="22"/>
      <c r="E91" s="22"/>
      <c r="F91" s="22"/>
      <c r="G91" s="26"/>
      <c r="H91" s="26"/>
      <c r="I91" s="26"/>
      <c r="J91" s="43"/>
      <c r="K91" s="26"/>
    </row>
    <row r="92" spans="1:11">
      <c r="A92" s="3">
        <v>301</v>
      </c>
      <c r="B92" s="4" t="s">
        <v>89</v>
      </c>
      <c r="C92" s="6">
        <v>26.6</v>
      </c>
      <c r="D92" s="16" t="s">
        <v>20</v>
      </c>
      <c r="E92" s="13" t="s">
        <v>24</v>
      </c>
      <c r="F92" s="25"/>
      <c r="G92" s="25"/>
      <c r="H92" s="25"/>
      <c r="I92" s="25"/>
      <c r="J92" s="45"/>
      <c r="K92" s="25"/>
    </row>
    <row r="93" spans="1:11">
      <c r="A93" s="3">
        <v>302</v>
      </c>
      <c r="B93" s="4" t="s">
        <v>5</v>
      </c>
      <c r="C93" s="6">
        <v>2.4</v>
      </c>
      <c r="D93" s="16" t="s">
        <v>20</v>
      </c>
      <c r="E93" s="13" t="s">
        <v>24</v>
      </c>
      <c r="F93" s="25"/>
      <c r="G93" s="25"/>
      <c r="H93" s="25"/>
      <c r="I93" s="25"/>
      <c r="J93" s="45"/>
      <c r="K93" s="25"/>
    </row>
    <row r="94" spans="1:11">
      <c r="A94" s="3">
        <v>303</v>
      </c>
      <c r="B94" s="4" t="s">
        <v>9</v>
      </c>
      <c r="C94" s="6">
        <v>1.6</v>
      </c>
      <c r="D94" s="16" t="s">
        <v>20</v>
      </c>
      <c r="E94" s="13" t="s">
        <v>24</v>
      </c>
      <c r="F94" s="25"/>
      <c r="G94" s="25"/>
      <c r="H94" s="25"/>
      <c r="I94" s="25"/>
      <c r="J94" s="45"/>
      <c r="K94" s="25"/>
    </row>
    <row r="95" spans="1:11">
      <c r="A95" s="3">
        <v>304</v>
      </c>
      <c r="B95" s="4" t="s">
        <v>9</v>
      </c>
      <c r="C95" s="6">
        <v>1.6</v>
      </c>
      <c r="D95" s="16" t="s">
        <v>20</v>
      </c>
      <c r="E95" s="13" t="s">
        <v>24</v>
      </c>
      <c r="F95" s="25"/>
      <c r="G95" s="25"/>
      <c r="H95" s="25"/>
      <c r="I95" s="25"/>
      <c r="J95" s="45"/>
      <c r="K95" s="25"/>
    </row>
    <row r="96" spans="1:11">
      <c r="A96" s="3">
        <v>305</v>
      </c>
      <c r="B96" s="4" t="s">
        <v>90</v>
      </c>
      <c r="C96" s="6">
        <v>260.7</v>
      </c>
      <c r="D96" s="9" t="s">
        <v>21</v>
      </c>
      <c r="E96" s="13" t="s">
        <v>24</v>
      </c>
      <c r="F96" s="25"/>
      <c r="G96" s="25"/>
      <c r="H96" s="25"/>
      <c r="I96" s="25"/>
      <c r="J96" s="45"/>
      <c r="K96" s="25"/>
    </row>
    <row r="97" spans="1:11">
      <c r="A97" s="3">
        <v>306</v>
      </c>
      <c r="B97" s="4" t="s">
        <v>91</v>
      </c>
      <c r="C97" s="6">
        <v>133.30000000000001</v>
      </c>
      <c r="D97" s="9" t="s">
        <v>21</v>
      </c>
      <c r="E97" s="13" t="s">
        <v>24</v>
      </c>
      <c r="F97" s="25"/>
      <c r="G97" s="25"/>
      <c r="H97" s="25"/>
      <c r="I97" s="25"/>
      <c r="J97" s="45"/>
      <c r="K97" s="25"/>
    </row>
    <row r="98" spans="1:11">
      <c r="A98" s="3">
        <v>307</v>
      </c>
      <c r="B98" s="4" t="s">
        <v>92</v>
      </c>
      <c r="C98" s="6">
        <v>88.8</v>
      </c>
      <c r="D98" s="9" t="s">
        <v>19</v>
      </c>
      <c r="E98" s="13" t="s">
        <v>24</v>
      </c>
      <c r="F98" s="25"/>
      <c r="G98" s="25"/>
      <c r="H98" s="25"/>
      <c r="I98" s="25"/>
      <c r="J98" s="45"/>
      <c r="K98" s="25"/>
    </row>
    <row r="99" spans="1:11">
      <c r="A99" s="3">
        <v>308</v>
      </c>
      <c r="B99" s="4" t="s">
        <v>93</v>
      </c>
      <c r="C99" s="6">
        <v>17.2</v>
      </c>
      <c r="D99" s="9" t="s">
        <v>19</v>
      </c>
      <c r="E99" s="13" t="s">
        <v>24</v>
      </c>
      <c r="F99" s="25"/>
      <c r="G99" s="25"/>
      <c r="H99" s="25"/>
      <c r="I99" s="25"/>
      <c r="J99" s="45"/>
      <c r="K99" s="25"/>
    </row>
    <row r="100" spans="1:11">
      <c r="A100" s="3">
        <v>309</v>
      </c>
      <c r="B100" s="4" t="s">
        <v>13</v>
      </c>
      <c r="C100" s="6">
        <v>25.2</v>
      </c>
      <c r="D100" s="16" t="s">
        <v>20</v>
      </c>
      <c r="E100" s="13" t="s">
        <v>24</v>
      </c>
      <c r="F100" s="25"/>
      <c r="G100" s="25"/>
      <c r="H100" s="25"/>
      <c r="I100" s="25"/>
      <c r="J100" s="45"/>
      <c r="K100" s="25"/>
    </row>
    <row r="101" spans="1:11">
      <c r="A101" s="3" t="s">
        <v>94</v>
      </c>
      <c r="B101" s="4" t="s">
        <v>95</v>
      </c>
      <c r="C101" s="6">
        <v>172.3</v>
      </c>
      <c r="D101" s="9" t="s">
        <v>19</v>
      </c>
      <c r="E101" s="13" t="s">
        <v>24</v>
      </c>
      <c r="F101" s="25"/>
      <c r="G101" s="25"/>
      <c r="H101" s="25"/>
      <c r="I101" s="25"/>
      <c r="J101" s="45"/>
      <c r="K101" s="25"/>
    </row>
    <row r="102" spans="1:11">
      <c r="A102" s="3" t="s">
        <v>96</v>
      </c>
      <c r="B102" s="4" t="s">
        <v>97</v>
      </c>
      <c r="C102" s="6">
        <v>26.7</v>
      </c>
      <c r="D102" s="16" t="s">
        <v>20</v>
      </c>
      <c r="E102" s="13" t="s">
        <v>24</v>
      </c>
      <c r="F102" s="25"/>
      <c r="G102" s="25"/>
      <c r="H102" s="25"/>
      <c r="I102" s="25"/>
      <c r="J102" s="45"/>
      <c r="K102" s="25"/>
    </row>
    <row r="103" spans="1:11">
      <c r="A103" s="3" t="s">
        <v>98</v>
      </c>
      <c r="B103" s="4" t="s">
        <v>99</v>
      </c>
      <c r="C103" s="6">
        <v>15.5</v>
      </c>
      <c r="D103" s="16" t="s">
        <v>20</v>
      </c>
      <c r="E103" s="13" t="s">
        <v>24</v>
      </c>
      <c r="F103" s="25"/>
      <c r="G103" s="25"/>
      <c r="H103" s="25"/>
      <c r="I103" s="25"/>
      <c r="J103" s="45"/>
      <c r="K103" s="25"/>
    </row>
    <row r="104" spans="1:11">
      <c r="A104" s="3">
        <v>313</v>
      </c>
      <c r="B104" s="4" t="s">
        <v>100</v>
      </c>
      <c r="C104" s="6">
        <v>94.4</v>
      </c>
      <c r="D104" s="9" t="s">
        <v>19</v>
      </c>
      <c r="E104" s="13" t="s">
        <v>24</v>
      </c>
      <c r="F104" s="25"/>
      <c r="G104" s="25"/>
      <c r="H104" s="25"/>
      <c r="I104" s="25"/>
      <c r="J104" s="45"/>
      <c r="K104" s="25"/>
    </row>
    <row r="105" spans="1:11">
      <c r="A105" s="3">
        <v>314</v>
      </c>
      <c r="B105" s="4" t="s">
        <v>101</v>
      </c>
      <c r="C105" s="6">
        <v>277.5</v>
      </c>
      <c r="D105" s="9" t="s">
        <v>21</v>
      </c>
      <c r="E105" s="13" t="s">
        <v>24</v>
      </c>
      <c r="F105" s="25"/>
      <c r="G105" s="25"/>
      <c r="H105" s="25"/>
      <c r="I105" s="25"/>
      <c r="J105" s="45"/>
      <c r="K105" s="25"/>
    </row>
    <row r="106" spans="1:11">
      <c r="A106" s="3">
        <v>315</v>
      </c>
      <c r="B106" s="4" t="s">
        <v>14</v>
      </c>
      <c r="C106" s="6">
        <v>6.8</v>
      </c>
      <c r="D106" s="16" t="s">
        <v>20</v>
      </c>
      <c r="E106" s="13" t="s">
        <v>24</v>
      </c>
      <c r="F106" s="25"/>
      <c r="G106" s="25"/>
      <c r="H106" s="25"/>
      <c r="I106" s="25"/>
      <c r="J106" s="45"/>
      <c r="K106" s="25"/>
    </row>
    <row r="107" spans="1:11">
      <c r="A107" s="3">
        <v>316</v>
      </c>
      <c r="B107" s="4" t="s">
        <v>13</v>
      </c>
      <c r="C107" s="6">
        <v>17.8</v>
      </c>
      <c r="D107" s="16" t="s">
        <v>20</v>
      </c>
      <c r="E107" s="13" t="s">
        <v>24</v>
      </c>
      <c r="F107" s="25"/>
      <c r="G107" s="25"/>
      <c r="H107" s="25"/>
      <c r="I107" s="25"/>
      <c r="J107" s="45"/>
      <c r="K107" s="25"/>
    </row>
    <row r="108" spans="1:11">
      <c r="A108" s="3">
        <v>317</v>
      </c>
      <c r="B108" s="4" t="s">
        <v>102</v>
      </c>
      <c r="C108" s="6">
        <v>93.5</v>
      </c>
      <c r="D108" s="9" t="s">
        <v>17</v>
      </c>
      <c r="E108" s="13" t="s">
        <v>24</v>
      </c>
      <c r="F108" s="25"/>
      <c r="G108" s="25"/>
      <c r="H108" s="25"/>
      <c r="I108" s="25"/>
      <c r="J108" s="45"/>
      <c r="K108" s="25"/>
    </row>
    <row r="109" spans="1:11">
      <c r="A109" s="3">
        <v>318</v>
      </c>
      <c r="B109" s="4" t="s">
        <v>103</v>
      </c>
      <c r="C109" s="6">
        <v>66.7</v>
      </c>
      <c r="D109" s="9" t="s">
        <v>18</v>
      </c>
      <c r="E109" s="9" t="s">
        <v>22</v>
      </c>
      <c r="F109" s="25" t="s">
        <v>115</v>
      </c>
      <c r="G109" s="24" t="s">
        <v>131</v>
      </c>
      <c r="H109" s="24"/>
      <c r="I109" s="24"/>
      <c r="J109" s="44"/>
      <c r="K109" s="25"/>
    </row>
    <row r="110" spans="1:11">
      <c r="A110" s="3">
        <v>319</v>
      </c>
      <c r="B110" s="4" t="s">
        <v>104</v>
      </c>
      <c r="C110" s="6">
        <v>260.7</v>
      </c>
      <c r="D110" s="9" t="s">
        <v>21</v>
      </c>
      <c r="E110" s="13" t="s">
        <v>24</v>
      </c>
      <c r="F110" s="25"/>
      <c r="G110" s="25"/>
      <c r="H110" s="25"/>
      <c r="I110" s="25"/>
      <c r="J110" s="45"/>
      <c r="K110" s="25"/>
    </row>
    <row r="111" spans="1:11">
      <c r="A111" s="3">
        <v>320</v>
      </c>
      <c r="B111" s="4" t="s">
        <v>105</v>
      </c>
      <c r="C111" s="6">
        <v>133.30000000000001</v>
      </c>
      <c r="D111" s="9" t="s">
        <v>21</v>
      </c>
      <c r="E111" s="13" t="s">
        <v>24</v>
      </c>
      <c r="F111" s="25"/>
      <c r="G111" s="25"/>
      <c r="H111" s="25"/>
      <c r="I111" s="25"/>
      <c r="J111" s="45"/>
      <c r="K111" s="25"/>
    </row>
    <row r="112" spans="1:11">
      <c r="A112" s="3">
        <v>321</v>
      </c>
      <c r="B112" s="4" t="s">
        <v>106</v>
      </c>
      <c r="C112" s="6">
        <v>94.4</v>
      </c>
      <c r="D112" s="9" t="s">
        <v>19</v>
      </c>
      <c r="E112" s="13" t="s">
        <v>24</v>
      </c>
      <c r="F112" s="25"/>
      <c r="G112" s="25"/>
      <c r="H112" s="25"/>
      <c r="I112" s="25"/>
      <c r="J112" s="45"/>
      <c r="K112" s="25"/>
    </row>
    <row r="113" spans="1:11">
      <c r="A113" s="3">
        <v>322</v>
      </c>
      <c r="B113" s="4" t="s">
        <v>93</v>
      </c>
      <c r="C113" s="6">
        <v>17.8</v>
      </c>
      <c r="D113" s="9" t="s">
        <v>19</v>
      </c>
      <c r="E113" s="13" t="s">
        <v>24</v>
      </c>
      <c r="F113" s="25"/>
      <c r="G113" s="25"/>
      <c r="H113" s="25"/>
      <c r="I113" s="25"/>
      <c r="J113" s="45"/>
      <c r="K113" s="25"/>
    </row>
    <row r="114" spans="1:11">
      <c r="A114" s="3">
        <v>323</v>
      </c>
      <c r="B114" s="4" t="s">
        <v>13</v>
      </c>
      <c r="C114" s="6">
        <v>25.2</v>
      </c>
      <c r="D114" s="16" t="s">
        <v>20</v>
      </c>
      <c r="E114" s="13" t="s">
        <v>24</v>
      </c>
      <c r="F114" s="25"/>
      <c r="G114" s="25"/>
      <c r="H114" s="25"/>
      <c r="I114" s="25"/>
      <c r="J114" s="45"/>
      <c r="K114" s="25"/>
    </row>
    <row r="115" spans="1:11">
      <c r="A115" s="3">
        <v>324</v>
      </c>
      <c r="B115" s="4" t="s">
        <v>107</v>
      </c>
      <c r="C115" s="6">
        <v>172.3</v>
      </c>
      <c r="D115" s="9" t="s">
        <v>19</v>
      </c>
      <c r="E115" s="13" t="s">
        <v>24</v>
      </c>
      <c r="F115" s="25"/>
      <c r="G115" s="25"/>
      <c r="H115" s="25"/>
      <c r="I115" s="25"/>
      <c r="J115" s="45"/>
      <c r="K115" s="25"/>
    </row>
    <row r="116" spans="1:11">
      <c r="A116" s="3">
        <v>325</v>
      </c>
      <c r="B116" s="4" t="s">
        <v>97</v>
      </c>
      <c r="C116" s="6">
        <v>26.7</v>
      </c>
      <c r="D116" s="16" t="s">
        <v>20</v>
      </c>
      <c r="E116" s="13" t="s">
        <v>24</v>
      </c>
      <c r="F116" s="25"/>
      <c r="G116" s="25"/>
      <c r="H116" s="25"/>
      <c r="I116" s="25"/>
      <c r="J116" s="45"/>
      <c r="K116" s="25"/>
    </row>
    <row r="117" spans="1:11">
      <c r="A117" s="3">
        <v>326</v>
      </c>
      <c r="B117" s="4" t="s">
        <v>108</v>
      </c>
      <c r="C117" s="6">
        <v>15.5</v>
      </c>
      <c r="D117" s="16" t="s">
        <v>20</v>
      </c>
      <c r="E117" s="13" t="s">
        <v>24</v>
      </c>
      <c r="F117" s="25"/>
      <c r="G117" s="25"/>
      <c r="H117" s="25"/>
      <c r="I117" s="25"/>
      <c r="J117" s="45"/>
      <c r="K117" s="25"/>
    </row>
    <row r="118" spans="1:11">
      <c r="A118" s="3">
        <v>327</v>
      </c>
      <c r="B118" s="4" t="s">
        <v>109</v>
      </c>
      <c r="C118" s="6">
        <v>94.4</v>
      </c>
      <c r="D118" s="9" t="s">
        <v>19</v>
      </c>
      <c r="E118" s="13" t="s">
        <v>24</v>
      </c>
      <c r="G118" s="25"/>
      <c r="H118" s="25"/>
      <c r="I118" s="25"/>
      <c r="J118" s="45"/>
      <c r="K118" s="25"/>
    </row>
    <row r="119" spans="1:11">
      <c r="A119" s="3">
        <v>328</v>
      </c>
      <c r="B119" s="4" t="s">
        <v>110</v>
      </c>
      <c r="C119" s="6">
        <v>260.7</v>
      </c>
      <c r="D119" s="9" t="s">
        <v>21</v>
      </c>
      <c r="E119" s="13" t="s">
        <v>24</v>
      </c>
      <c r="G119" s="25"/>
      <c r="H119" s="25"/>
      <c r="I119" s="25"/>
      <c r="J119" s="45"/>
      <c r="K119" s="25"/>
    </row>
    <row r="120" spans="1:11">
      <c r="A120" s="3">
        <v>329</v>
      </c>
      <c r="B120" s="4" t="s">
        <v>10</v>
      </c>
      <c r="C120" s="6">
        <v>103.4</v>
      </c>
      <c r="D120" s="23"/>
      <c r="E120" s="13" t="s">
        <v>24</v>
      </c>
      <c r="G120" s="25"/>
      <c r="H120" s="25"/>
      <c r="I120" s="25"/>
      <c r="J120" s="45"/>
      <c r="K120" s="25"/>
    </row>
    <row r="121" spans="1:11">
      <c r="A121" s="3">
        <v>330</v>
      </c>
      <c r="B121" s="4" t="s">
        <v>14</v>
      </c>
      <c r="C121" s="6">
        <v>8.1</v>
      </c>
      <c r="D121" s="16" t="s">
        <v>20</v>
      </c>
      <c r="E121" s="13" t="s">
        <v>24</v>
      </c>
      <c r="G121" s="25"/>
      <c r="H121" s="25"/>
      <c r="I121" s="25"/>
      <c r="J121" s="45"/>
      <c r="K121" s="25"/>
    </row>
    <row r="122" spans="1:11">
      <c r="A122" s="3">
        <v>331</v>
      </c>
      <c r="B122" s="4" t="s">
        <v>8</v>
      </c>
      <c r="C122" s="6">
        <v>6.5</v>
      </c>
      <c r="D122" s="9" t="s">
        <v>17</v>
      </c>
      <c r="E122" s="13" t="s">
        <v>24</v>
      </c>
      <c r="G122" s="25"/>
      <c r="H122" s="25"/>
      <c r="I122" s="25"/>
      <c r="J122" s="45"/>
      <c r="K122" s="25"/>
    </row>
    <row r="123" spans="1:11">
      <c r="A123" s="3">
        <v>332</v>
      </c>
      <c r="B123" s="4" t="s">
        <v>57</v>
      </c>
      <c r="C123" s="6">
        <v>45.1</v>
      </c>
      <c r="D123" s="9" t="s">
        <v>21</v>
      </c>
      <c r="E123" s="13" t="s">
        <v>24</v>
      </c>
      <c r="G123" s="25"/>
      <c r="H123" s="25"/>
      <c r="I123" s="25"/>
      <c r="J123" s="45"/>
      <c r="K123" s="25"/>
    </row>
    <row r="124" spans="1:11">
      <c r="A124" s="3">
        <v>333</v>
      </c>
      <c r="B124" s="4" t="s">
        <v>7</v>
      </c>
      <c r="C124" s="6">
        <v>646.5</v>
      </c>
      <c r="D124" s="16" t="s">
        <v>20</v>
      </c>
      <c r="E124" s="13" t="s">
        <v>24</v>
      </c>
      <c r="G124" s="25"/>
      <c r="H124" s="25"/>
      <c r="I124" s="25"/>
      <c r="J124" s="45"/>
      <c r="K124" s="25"/>
    </row>
    <row r="125" spans="1:11">
      <c r="A125" s="3">
        <v>334</v>
      </c>
      <c r="B125" s="4" t="s">
        <v>14</v>
      </c>
      <c r="C125" s="6">
        <v>8.1</v>
      </c>
      <c r="D125" s="16" t="s">
        <v>20</v>
      </c>
      <c r="E125" s="13" t="s">
        <v>24</v>
      </c>
      <c r="G125" s="25"/>
      <c r="H125" s="25"/>
      <c r="I125" s="25"/>
      <c r="J125" s="45"/>
      <c r="K125" s="25"/>
    </row>
    <row r="126" spans="1:11">
      <c r="A126" s="3">
        <v>335</v>
      </c>
      <c r="B126" s="4" t="s">
        <v>11</v>
      </c>
      <c r="C126" s="6">
        <v>6.2</v>
      </c>
      <c r="D126" s="9" t="s">
        <v>21</v>
      </c>
      <c r="E126" s="13" t="s">
        <v>24</v>
      </c>
      <c r="G126" s="25"/>
      <c r="H126" s="25"/>
      <c r="I126" s="25"/>
      <c r="J126" s="45"/>
      <c r="K126" s="25"/>
    </row>
    <row r="127" spans="1:11">
      <c r="A127" s="3">
        <v>336</v>
      </c>
      <c r="B127" s="4" t="s">
        <v>14</v>
      </c>
      <c r="C127" s="6">
        <v>2</v>
      </c>
      <c r="D127" s="16" t="s">
        <v>20</v>
      </c>
      <c r="E127" s="13" t="s">
        <v>24</v>
      </c>
      <c r="G127" s="25"/>
      <c r="H127" s="25"/>
      <c r="I127" s="25"/>
      <c r="J127" s="45"/>
      <c r="K127" s="25"/>
    </row>
    <row r="128" spans="1:11">
      <c r="A128" s="3"/>
      <c r="B128" s="28" t="s">
        <v>121</v>
      </c>
      <c r="C128" s="29">
        <f>SUMIF($D$39:$D$127,"А",$C$39:$C$127)/SUM($C$39:$C$127)</f>
        <v>0</v>
      </c>
      <c r="D128" s="16"/>
      <c r="E128" s="13"/>
      <c r="G128" s="25"/>
      <c r="H128" s="25"/>
      <c r="I128" s="25"/>
      <c r="J128" s="45"/>
      <c r="K128" s="25"/>
    </row>
    <row r="129" spans="1:11">
      <c r="A129" s="3"/>
      <c r="B129" s="28" t="s">
        <v>122</v>
      </c>
      <c r="C129" s="29">
        <f>SUMIF($D$39:$D$127,"Б",$C$39:$C$127)/SUM($C$39:$C$127)</f>
        <v>0</v>
      </c>
      <c r="D129" s="16"/>
      <c r="E129" s="13"/>
      <c r="G129" s="25"/>
      <c r="H129" s="25"/>
      <c r="I129" s="25"/>
      <c r="J129" s="45"/>
      <c r="K129" s="25"/>
    </row>
    <row r="130" spans="1:11">
      <c r="B130" s="28" t="s">
        <v>116</v>
      </c>
      <c r="C130" s="29">
        <f>SUMIF($D$39:$D$127,"В1",$C$39:$C$127)/SUM($C$39:$C$127)</f>
        <v>0.57177521308266377</v>
      </c>
    </row>
    <row r="131" spans="1:11">
      <c r="B131" s="28" t="s">
        <v>117</v>
      </c>
      <c r="C131" s="29">
        <f>SUMIF($D$39:$D$127,"В2",$C$39:$C$127)/SUM($C$39:$C$127)</f>
        <v>7.6628196239957577E-2</v>
      </c>
    </row>
    <row r="132" spans="1:11">
      <c r="B132" s="28" t="s">
        <v>118</v>
      </c>
      <c r="C132" s="29">
        <f>SUMIF($D$39:$D$127,"В3",$C$39:$C$127)/SUM($C$39:$C$127)</f>
        <v>6.8002936258717015E-3</v>
      </c>
    </row>
    <row r="133" spans="1:11">
      <c r="B133" s="28" t="s">
        <v>119</v>
      </c>
      <c r="C133" s="29">
        <f>SUMIF($D$39:$D$127,"В4",$C$39:$C$127)/SUM($C$39:$C$127)</f>
        <v>3.548998817340239E-2</v>
      </c>
    </row>
    <row r="134" spans="1:11">
      <c r="B134" s="28" t="s">
        <v>120</v>
      </c>
      <c r="C134" s="29">
        <f>SUMIF(E39:$E$127,"Да",$C$39:$C$127)/SUM($C$39:$C$127)</f>
        <v>0.27906692222992535</v>
      </c>
    </row>
    <row r="135" spans="1:11">
      <c r="C135" s="27"/>
    </row>
    <row r="137" spans="1:11">
      <c r="G137" s="25"/>
      <c r="H137" s="25"/>
      <c r="I137" s="25"/>
      <c r="J137" s="45"/>
      <c r="K137" s="25"/>
    </row>
    <row r="138" spans="1:11">
      <c r="G138" s="25"/>
      <c r="H138" s="25"/>
      <c r="I138" s="25"/>
      <c r="J138" s="45"/>
      <c r="K138" s="25"/>
    </row>
    <row r="139" spans="1:11">
      <c r="G139" s="25"/>
      <c r="H139" s="25"/>
      <c r="I139" s="25"/>
      <c r="J139" s="45"/>
      <c r="K139" s="25"/>
    </row>
    <row r="140" spans="1:11">
      <c r="G140" s="25"/>
      <c r="H140" s="25"/>
      <c r="I140" s="25"/>
      <c r="J140" s="45"/>
      <c r="K140" s="25"/>
    </row>
    <row r="141" spans="1:11">
      <c r="G141" s="25"/>
      <c r="H141" s="25"/>
      <c r="I141" s="25"/>
      <c r="J141" s="45"/>
      <c r="K141" s="25"/>
    </row>
    <row r="142" spans="1:11">
      <c r="G142" s="25"/>
      <c r="H142" s="25"/>
      <c r="I142" s="25"/>
      <c r="J142" s="45"/>
      <c r="K142" s="25"/>
    </row>
    <row r="143" spans="1:11">
      <c r="G143" s="25"/>
      <c r="H143" s="25"/>
      <c r="I143" s="25"/>
      <c r="J143" s="45"/>
      <c r="K143" s="25"/>
    </row>
    <row r="144" spans="1:11">
      <c r="G144" s="25"/>
      <c r="H144" s="25"/>
      <c r="I144" s="25"/>
      <c r="J144" s="45"/>
      <c r="K144" s="25"/>
    </row>
    <row r="145" spans="7:11">
      <c r="G145" s="25"/>
      <c r="H145" s="25"/>
      <c r="I145" s="25"/>
      <c r="J145" s="45"/>
      <c r="K145" s="25"/>
    </row>
    <row r="146" spans="7:11">
      <c r="G146" s="25"/>
      <c r="H146" s="25"/>
      <c r="I146" s="25"/>
      <c r="J146" s="45"/>
      <c r="K146" s="25"/>
    </row>
    <row r="147" spans="7:11">
      <c r="G147" s="25"/>
      <c r="H147" s="25"/>
      <c r="I147" s="25"/>
      <c r="J147" s="45"/>
      <c r="K147" s="25"/>
    </row>
    <row r="148" spans="7:11">
      <c r="G148" s="25"/>
      <c r="H148" s="25"/>
      <c r="I148" s="25"/>
      <c r="J148" s="45"/>
      <c r="K148" s="25"/>
    </row>
    <row r="149" spans="7:11">
      <c r="G149" s="25"/>
      <c r="H149" s="25"/>
      <c r="I149" s="25"/>
      <c r="J149" s="45"/>
      <c r="K149" s="25"/>
    </row>
    <row r="150" spans="7:11">
      <c r="G150" s="25"/>
      <c r="H150" s="25"/>
      <c r="I150" s="25"/>
      <c r="J150" s="45"/>
      <c r="K150" s="25"/>
    </row>
    <row r="151" spans="7:11">
      <c r="G151" s="25"/>
      <c r="H151" s="25"/>
      <c r="I151" s="25"/>
      <c r="J151" s="45"/>
      <c r="K151" s="25"/>
    </row>
    <row r="152" spans="7:11">
      <c r="G152" s="25"/>
      <c r="H152" s="25"/>
      <c r="I152" s="25"/>
      <c r="J152" s="45"/>
      <c r="K152" s="25"/>
    </row>
    <row r="153" spans="7:11">
      <c r="G153" s="25"/>
      <c r="H153" s="25"/>
      <c r="I153" s="25"/>
      <c r="J153" s="45"/>
      <c r="K153" s="25"/>
    </row>
    <row r="154" spans="7:11">
      <c r="G154" s="25"/>
      <c r="H154" s="25"/>
      <c r="I154" s="25"/>
      <c r="J154" s="45"/>
      <c r="K154" s="25"/>
    </row>
    <row r="155" spans="7:11">
      <c r="G155" s="25"/>
      <c r="H155" s="25"/>
      <c r="I155" s="25"/>
      <c r="J155" s="45"/>
      <c r="K155" s="25"/>
    </row>
    <row r="156" spans="7:11">
      <c r="G156" s="25"/>
      <c r="H156" s="25"/>
      <c r="I156" s="25"/>
      <c r="J156" s="45"/>
      <c r="K156" s="25"/>
    </row>
    <row r="157" spans="7:11">
      <c r="G157" s="25"/>
      <c r="H157" s="25"/>
      <c r="I157" s="25"/>
      <c r="J157" s="45"/>
      <c r="K157" s="25"/>
    </row>
    <row r="158" spans="7:11">
      <c r="G158" s="25"/>
      <c r="H158" s="25"/>
      <c r="I158" s="25"/>
      <c r="J158" s="45"/>
      <c r="K158" s="25"/>
    </row>
    <row r="159" spans="7:11">
      <c r="G159" s="25"/>
      <c r="H159" s="25"/>
      <c r="I159" s="25"/>
      <c r="J159" s="45"/>
      <c r="K159" s="25"/>
    </row>
    <row r="160" spans="7:11">
      <c r="G160" s="25"/>
      <c r="H160" s="25"/>
      <c r="I160" s="25"/>
      <c r="J160" s="45"/>
      <c r="K160" s="25"/>
    </row>
    <row r="161" spans="7:11">
      <c r="G161" s="25"/>
      <c r="H161" s="25"/>
      <c r="I161" s="25"/>
      <c r="J161" s="45"/>
      <c r="K161" s="25"/>
    </row>
    <row r="162" spans="7:11">
      <c r="G162" s="25"/>
      <c r="H162" s="25"/>
      <c r="I162" s="25"/>
      <c r="J162" s="45"/>
      <c r="K162" s="25"/>
    </row>
    <row r="163" spans="7:11">
      <c r="G163" s="25"/>
      <c r="H163" s="25"/>
      <c r="I163" s="25"/>
      <c r="J163" s="45"/>
      <c r="K163" s="25"/>
    </row>
    <row r="164" spans="7:11">
      <c r="G164" s="25"/>
      <c r="H164" s="25"/>
      <c r="I164" s="25"/>
      <c r="J164" s="45"/>
      <c r="K164" s="25"/>
    </row>
    <row r="165" spans="7:11">
      <c r="G165" s="25"/>
      <c r="H165" s="25"/>
      <c r="I165" s="25"/>
      <c r="J165" s="45"/>
      <c r="K165" s="25"/>
    </row>
    <row r="166" spans="7:11">
      <c r="G166" s="25"/>
      <c r="H166" s="25"/>
      <c r="I166" s="25"/>
      <c r="J166" s="45"/>
      <c r="K166" s="25"/>
    </row>
    <row r="167" spans="7:11">
      <c r="G167" s="25"/>
      <c r="H167" s="25"/>
      <c r="I167" s="25"/>
      <c r="J167" s="45"/>
      <c r="K167" s="25"/>
    </row>
    <row r="168" spans="7:11">
      <c r="G168" s="25"/>
      <c r="H168" s="25"/>
      <c r="I168" s="25"/>
      <c r="J168" s="45"/>
      <c r="K168" s="25"/>
    </row>
    <row r="169" spans="7:11">
      <c r="G169" s="25"/>
      <c r="H169" s="25"/>
      <c r="I169" s="25"/>
      <c r="J169" s="45"/>
      <c r="K169" s="25"/>
    </row>
    <row r="170" spans="7:11">
      <c r="G170" s="25"/>
      <c r="H170" s="25"/>
      <c r="I170" s="25"/>
      <c r="J170" s="45"/>
      <c r="K170" s="25"/>
    </row>
    <row r="171" spans="7:11">
      <c r="G171" s="25"/>
      <c r="H171" s="25"/>
      <c r="I171" s="25"/>
      <c r="J171" s="45"/>
      <c r="K171" s="25"/>
    </row>
    <row r="172" spans="7:11">
      <c r="G172" s="25"/>
      <c r="H172" s="25"/>
      <c r="I172" s="25"/>
      <c r="J172" s="45"/>
      <c r="K172" s="25"/>
    </row>
    <row r="173" spans="7:11">
      <c r="G173" s="25"/>
      <c r="H173" s="25"/>
      <c r="I173" s="25"/>
      <c r="J173" s="45"/>
      <c r="K173" s="25"/>
    </row>
    <row r="174" spans="7:11">
      <c r="G174" s="25"/>
      <c r="H174" s="25"/>
      <c r="I174" s="25"/>
      <c r="J174" s="45"/>
      <c r="K174" s="25"/>
    </row>
    <row r="175" spans="7:11">
      <c r="G175" s="25"/>
      <c r="H175" s="25"/>
      <c r="I175" s="25"/>
      <c r="J175" s="45"/>
      <c r="K175" s="25"/>
    </row>
    <row r="176" spans="7:11">
      <c r="G176" s="25"/>
      <c r="H176" s="25"/>
      <c r="I176" s="25"/>
      <c r="J176" s="45"/>
      <c r="K176" s="25"/>
    </row>
    <row r="177" spans="7:11">
      <c r="G177" s="25"/>
      <c r="H177" s="25"/>
      <c r="I177" s="25"/>
      <c r="J177" s="45"/>
      <c r="K177" s="25"/>
    </row>
    <row r="178" spans="7:11">
      <c r="G178" s="25"/>
      <c r="H178" s="25"/>
      <c r="I178" s="25"/>
      <c r="J178" s="45"/>
      <c r="K178" s="25"/>
    </row>
    <row r="179" spans="7:11">
      <c r="G179" s="25"/>
      <c r="H179" s="25"/>
      <c r="I179" s="25"/>
      <c r="J179" s="45"/>
      <c r="K179" s="25"/>
    </row>
    <row r="180" spans="7:11">
      <c r="G180" s="25"/>
      <c r="H180" s="25"/>
      <c r="I180" s="25"/>
      <c r="J180" s="45"/>
      <c r="K180" s="25"/>
    </row>
    <row r="181" spans="7:11">
      <c r="G181" s="25"/>
      <c r="H181" s="25"/>
      <c r="I181" s="25"/>
      <c r="J181" s="45"/>
      <c r="K181" s="25"/>
    </row>
    <row r="182" spans="7:11">
      <c r="G182" s="25"/>
      <c r="H182" s="25"/>
      <c r="I182" s="25"/>
      <c r="J182" s="45"/>
      <c r="K182" s="25"/>
    </row>
    <row r="183" spans="7:11">
      <c r="G183" s="25"/>
      <c r="H183" s="25"/>
      <c r="I183" s="25"/>
      <c r="J183" s="45"/>
      <c r="K183" s="25"/>
    </row>
    <row r="184" spans="7:11">
      <c r="G184" s="25"/>
      <c r="H184" s="25"/>
      <c r="I184" s="25"/>
      <c r="J184" s="45"/>
      <c r="K184" s="25"/>
    </row>
    <row r="185" spans="7:11">
      <c r="G185" s="25"/>
      <c r="H185" s="25"/>
      <c r="I185" s="25"/>
      <c r="J185" s="45"/>
      <c r="K185" s="25"/>
    </row>
    <row r="186" spans="7:11">
      <c r="G186" s="25"/>
      <c r="H186" s="25"/>
      <c r="I186" s="25"/>
      <c r="J186" s="45"/>
      <c r="K186" s="25"/>
    </row>
    <row r="187" spans="7:11">
      <c r="G187" s="25"/>
      <c r="H187" s="25"/>
      <c r="I187" s="25"/>
      <c r="J187" s="45"/>
      <c r="K187" s="25"/>
    </row>
    <row r="188" spans="7:11">
      <c r="G188" s="25"/>
      <c r="H188" s="25"/>
      <c r="I188" s="25"/>
      <c r="J188" s="45"/>
      <c r="K188" s="25"/>
    </row>
    <row r="189" spans="7:11">
      <c r="G189" s="25"/>
      <c r="H189" s="25"/>
      <c r="I189" s="25"/>
      <c r="J189" s="45"/>
      <c r="K189" s="25"/>
    </row>
    <row r="190" spans="7:11">
      <c r="G190" s="25"/>
      <c r="H190" s="25"/>
      <c r="I190" s="25"/>
      <c r="J190" s="45"/>
      <c r="K190" s="25"/>
    </row>
    <row r="191" spans="7:11">
      <c r="G191" s="25"/>
      <c r="H191" s="25"/>
      <c r="I191" s="25"/>
      <c r="J191" s="45"/>
      <c r="K191" s="25"/>
    </row>
    <row r="192" spans="7:11">
      <c r="G192" s="25"/>
      <c r="H192" s="25"/>
      <c r="I192" s="25"/>
      <c r="J192" s="45"/>
      <c r="K192" s="25"/>
    </row>
    <row r="193" spans="7:11">
      <c r="G193" s="25"/>
      <c r="H193" s="25"/>
      <c r="I193" s="25"/>
      <c r="J193" s="45"/>
      <c r="K193" s="25"/>
    </row>
    <row r="194" spans="7:11">
      <c r="G194" s="25"/>
      <c r="H194" s="25"/>
      <c r="I194" s="25"/>
      <c r="J194" s="45"/>
      <c r="K194" s="25"/>
    </row>
    <row r="195" spans="7:11">
      <c r="G195" s="25"/>
      <c r="H195" s="25"/>
      <c r="I195" s="25"/>
      <c r="J195" s="45"/>
      <c r="K195" s="25"/>
    </row>
    <row r="196" spans="7:11">
      <c r="G196" s="25"/>
      <c r="H196" s="25"/>
      <c r="I196" s="25"/>
      <c r="J196" s="45"/>
      <c r="K196" s="25"/>
    </row>
    <row r="197" spans="7:11">
      <c r="G197" s="25"/>
      <c r="H197" s="25"/>
      <c r="I197" s="25"/>
      <c r="J197" s="45"/>
      <c r="K197" s="25"/>
    </row>
    <row r="198" spans="7:11">
      <c r="G198" s="25"/>
      <c r="H198" s="25"/>
      <c r="I198" s="25"/>
      <c r="J198" s="45"/>
      <c r="K198" s="25"/>
    </row>
    <row r="199" spans="7:11">
      <c r="G199" s="25"/>
      <c r="H199" s="25"/>
      <c r="I199" s="25"/>
      <c r="J199" s="45"/>
      <c r="K199" s="25"/>
    </row>
    <row r="200" spans="7:11">
      <c r="G200" s="25"/>
      <c r="H200" s="25"/>
      <c r="I200" s="25"/>
      <c r="J200" s="45"/>
      <c r="K200" s="25"/>
    </row>
    <row r="201" spans="7:11">
      <c r="G201" s="25"/>
      <c r="H201" s="25"/>
      <c r="I201" s="25"/>
      <c r="J201" s="45"/>
      <c r="K201" s="25"/>
    </row>
    <row r="202" spans="7:11">
      <c r="G202" s="25"/>
      <c r="H202" s="25"/>
      <c r="I202" s="25"/>
      <c r="J202" s="45"/>
      <c r="K202" s="25"/>
    </row>
    <row r="203" spans="7:11">
      <c r="G203" s="25"/>
      <c r="H203" s="25"/>
      <c r="I203" s="25"/>
      <c r="J203" s="45"/>
      <c r="K203" s="25"/>
    </row>
    <row r="204" spans="7:11">
      <c r="G204" s="25"/>
      <c r="H204" s="25"/>
      <c r="I204" s="25"/>
      <c r="J204" s="45"/>
      <c r="K204" s="25"/>
    </row>
    <row r="205" spans="7:11">
      <c r="G205" s="25"/>
      <c r="H205" s="25"/>
      <c r="I205" s="25"/>
      <c r="J205" s="45"/>
      <c r="K205" s="25"/>
    </row>
    <row r="206" spans="7:11">
      <c r="G206" s="25"/>
      <c r="H206" s="25"/>
      <c r="I206" s="25"/>
      <c r="J206" s="45"/>
      <c r="K206" s="25"/>
    </row>
    <row r="207" spans="7:11">
      <c r="G207" s="25"/>
      <c r="H207" s="25"/>
      <c r="I207" s="25"/>
      <c r="J207" s="45"/>
      <c r="K207" s="25"/>
    </row>
    <row r="208" spans="7:11">
      <c r="G208" s="25"/>
      <c r="H208" s="25"/>
      <c r="I208" s="25"/>
      <c r="J208" s="45"/>
      <c r="K208" s="25"/>
    </row>
    <row r="209" spans="7:11">
      <c r="G209" s="25"/>
      <c r="H209" s="25"/>
      <c r="I209" s="25"/>
      <c r="J209" s="45"/>
      <c r="K209" s="25"/>
    </row>
    <row r="210" spans="7:11">
      <c r="G210" s="25"/>
      <c r="H210" s="25"/>
      <c r="I210" s="25"/>
      <c r="J210" s="45"/>
      <c r="K210" s="25"/>
    </row>
    <row r="211" spans="7:11">
      <c r="G211" s="25"/>
      <c r="H211" s="25"/>
      <c r="I211" s="25"/>
      <c r="J211" s="45"/>
      <c r="K211" s="25"/>
    </row>
    <row r="212" spans="7:11">
      <c r="G212" s="25"/>
      <c r="H212" s="25"/>
      <c r="I212" s="25"/>
      <c r="J212" s="45"/>
      <c r="K212" s="25"/>
    </row>
    <row r="213" spans="7:11">
      <c r="G213" s="25"/>
      <c r="H213" s="25"/>
      <c r="I213" s="25"/>
      <c r="J213" s="45"/>
      <c r="K213" s="25"/>
    </row>
    <row r="214" spans="7:11">
      <c r="G214" s="25"/>
      <c r="H214" s="25"/>
      <c r="I214" s="25"/>
      <c r="J214" s="45"/>
      <c r="K214" s="25"/>
    </row>
    <row r="215" spans="7:11">
      <c r="G215" s="25"/>
      <c r="H215" s="25"/>
      <c r="I215" s="25"/>
      <c r="J215" s="45"/>
      <c r="K215" s="25"/>
    </row>
    <row r="216" spans="7:11">
      <c r="G216" s="25"/>
      <c r="H216" s="25"/>
      <c r="I216" s="25"/>
      <c r="J216" s="45"/>
      <c r="K216" s="25"/>
    </row>
    <row r="217" spans="7:11">
      <c r="G217" s="25"/>
      <c r="H217" s="25"/>
      <c r="I217" s="25"/>
      <c r="J217" s="45"/>
      <c r="K217" s="25"/>
    </row>
    <row r="218" spans="7:11">
      <c r="G218" s="25"/>
      <c r="H218" s="25"/>
      <c r="I218" s="25"/>
      <c r="J218" s="45"/>
      <c r="K218" s="25"/>
    </row>
    <row r="219" spans="7:11">
      <c r="G219" s="25"/>
      <c r="H219" s="25"/>
      <c r="I219" s="25"/>
      <c r="J219" s="45"/>
      <c r="K219" s="25"/>
    </row>
    <row r="220" spans="7:11">
      <c r="G220" s="25"/>
      <c r="H220" s="25"/>
      <c r="I220" s="25"/>
      <c r="J220" s="45"/>
      <c r="K220" s="25"/>
    </row>
    <row r="221" spans="7:11">
      <c r="G221" s="25"/>
      <c r="H221" s="25"/>
      <c r="I221" s="25"/>
      <c r="J221" s="45"/>
      <c r="K221" s="25"/>
    </row>
    <row r="222" spans="7:11">
      <c r="G222" s="25"/>
      <c r="H222" s="25"/>
      <c r="I222" s="25"/>
      <c r="J222" s="45"/>
      <c r="K222" s="25"/>
    </row>
    <row r="223" spans="7:11">
      <c r="G223" s="25"/>
      <c r="H223" s="25"/>
      <c r="I223" s="25"/>
      <c r="J223" s="45"/>
      <c r="K223" s="25"/>
    </row>
    <row r="224" spans="7:11">
      <c r="G224" s="25"/>
      <c r="H224" s="25"/>
      <c r="I224" s="25"/>
      <c r="J224" s="45"/>
      <c r="K224" s="25"/>
    </row>
    <row r="225" spans="7:10">
      <c r="G225" s="25"/>
      <c r="H225" s="25"/>
      <c r="I225" s="25"/>
      <c r="J225" s="45"/>
    </row>
    <row r="226" spans="7:10">
      <c r="G226" s="25"/>
      <c r="H226" s="25"/>
      <c r="I226" s="25"/>
      <c r="J226" s="45"/>
    </row>
    <row r="227" spans="7:10">
      <c r="G227" s="25"/>
      <c r="H227" s="25"/>
      <c r="I227" s="25"/>
      <c r="J227" s="45"/>
    </row>
    <row r="228" spans="7:10">
      <c r="G228" s="25"/>
      <c r="H228" s="25"/>
      <c r="I228" s="25"/>
      <c r="J228" s="45"/>
    </row>
    <row r="229" spans="7:10">
      <c r="G229" s="25"/>
      <c r="H229" s="25"/>
      <c r="I229" s="25"/>
      <c r="J229" s="45"/>
    </row>
    <row r="230" spans="7:10">
      <c r="G230" s="25"/>
      <c r="H230" s="25"/>
      <c r="I230" s="25"/>
      <c r="J230" s="45"/>
    </row>
    <row r="231" spans="7:10">
      <c r="G231" s="25"/>
      <c r="H231" s="25"/>
      <c r="I231" s="25"/>
      <c r="J231" s="45"/>
    </row>
    <row r="232" spans="7:10">
      <c r="G232" s="25"/>
      <c r="H232" s="25"/>
      <c r="I232" s="25"/>
      <c r="J232" s="45"/>
    </row>
    <row r="233" spans="7:10">
      <c r="G233" s="25"/>
      <c r="H233" s="25"/>
      <c r="I233" s="25"/>
      <c r="J233" s="45"/>
    </row>
    <row r="234" spans="7:10">
      <c r="G234" s="25"/>
      <c r="H234" s="25"/>
      <c r="I234" s="25"/>
      <c r="J234" s="45"/>
    </row>
    <row r="235" spans="7:10">
      <c r="G235" s="25"/>
      <c r="H235" s="25"/>
      <c r="I235" s="25"/>
      <c r="J235" s="45"/>
    </row>
    <row r="236" spans="7:10">
      <c r="G236" s="25"/>
      <c r="H236" s="25"/>
      <c r="I236" s="25"/>
      <c r="J236" s="45"/>
    </row>
    <row r="237" spans="7:10">
      <c r="G237" s="25"/>
      <c r="H237" s="25"/>
      <c r="I237" s="25"/>
      <c r="J237" s="45"/>
    </row>
  </sheetData>
  <mergeCells count="2">
    <mergeCell ref="F5:F7"/>
    <mergeCell ref="K5:K7"/>
  </mergeCells>
  <pageMargins left="0.7" right="0.7" top="0.75" bottom="0.75" header="0.3" footer="0.3"/>
  <pageSetup paperSize="9" scale="3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5C19B6E01C7264ABC79F40970995C44" ma:contentTypeVersion="0" ma:contentTypeDescription="Создание документа." ma:contentTypeScope="" ma:versionID="0a8593e6046055104a6a3b6322dfaa68">
  <xsd:schema xmlns:xsd="http://www.w3.org/2001/XMLSchema" xmlns:xs="http://www.w3.org/2001/XMLSchema" xmlns:p="http://schemas.microsoft.com/office/2006/metadata/properties" xmlns:ns2="68c1958a-1352-4af7-a71e-0f34c6838af2" targetNamespace="http://schemas.microsoft.com/office/2006/metadata/properties" ma:root="true" ma:fieldsID="6df5700a75733f107374ff68dc4e7863" ns2:_="">
    <xsd:import namespace="68c1958a-1352-4af7-a71e-0f34c6838af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1958a-1352-4af7-a71e-0f34c6838af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8c1958a-1352-4af7-a71e-0f34c6838af2">KYRTTTTHJNKQ-170-263</_dlc_DocId>
    <_dlc_DocIdUrl xmlns="68c1958a-1352-4af7-a71e-0f34c6838af2">
      <Url>http://home/_layouts/15/DocIdRedir.aspx?ID=KYRTTTTHJNKQ-170-263</Url>
      <Description>KYRTTTTHJNKQ-170-263</Description>
    </_dlc_DocIdUrl>
  </documentManagement>
</p:properties>
</file>

<file path=customXml/itemProps1.xml><?xml version="1.0" encoding="utf-8"?>
<ds:datastoreItem xmlns:ds="http://schemas.openxmlformats.org/officeDocument/2006/customXml" ds:itemID="{4F3B7B05-BA24-4D6E-AFE9-8583C46DE69E}"/>
</file>

<file path=customXml/itemProps2.xml><?xml version="1.0" encoding="utf-8"?>
<ds:datastoreItem xmlns:ds="http://schemas.openxmlformats.org/officeDocument/2006/customXml" ds:itemID="{0AD8B252-F4C9-4933-AAE9-BF83F5382ED5}"/>
</file>

<file path=customXml/itemProps3.xml><?xml version="1.0" encoding="utf-8"?>
<ds:datastoreItem xmlns:ds="http://schemas.openxmlformats.org/officeDocument/2006/customXml" ds:itemID="{9CB67916-335A-47D3-A1B8-F9AAB4488485}"/>
</file>

<file path=customXml/itemProps4.xml><?xml version="1.0" encoding="utf-8"?>
<ds:datastoreItem xmlns:ds="http://schemas.openxmlformats.org/officeDocument/2006/customXml" ds:itemID="{B2391E14-079E-465F-9888-B6700DAA18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Главный корпус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2022-08-24T07:28:59Z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0x01010075C19B6E01C7264ABC79F40970995C44</vt:lpwstr>
  </property>
  <property fmtid="{D5CDD505-2E9C-101B-9397-08002B2CF9AE}" pid="3" name="_dlc_DocIdItemGuid">
    <vt:lpwstr>672b6321-705f-493d-b2f6-da655c285f81</vt:lpwstr>
  </property>
</Properties>
</file>