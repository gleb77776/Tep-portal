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filterPrivacy="1" defaultThemeVersion="124226"/>
  <xr:revisionPtr revIDLastSave="0" documentId="8_{CB6B6A16-2030-403F-91A8-4F8977102A23}" xr6:coauthVersionLast="36" xr6:coauthVersionMax="36" xr10:uidLastSave="{00000000-0000-0000-0000-000000000000}"/>
  <bookViews>
    <workbookView xWindow="240" yWindow="105" windowWidth="14805" windowHeight="8010" activeTab="4" xr2:uid="{00000000-000D-0000-FFFF-FFFF00000000}"/>
  </bookViews>
  <sheets>
    <sheet name="Пояснения" sheetId="5" r:id="rId1"/>
    <sheet name="Твердые вещества" sheetId="1" r:id="rId2"/>
    <sheet name="ГЖ_ЛВЖ" sheetId="2" r:id="rId3"/>
    <sheet name="Горючие газы" sheetId="3" r:id="rId4"/>
    <sheet name="Резервуарный парк" sheetId="6" r:id="rId5"/>
  </sheets>
  <calcPr calcId="191029"/>
</workbook>
</file>

<file path=xl/calcChain.xml><?xml version="1.0" encoding="utf-8"?>
<calcChain xmlns="http://schemas.openxmlformats.org/spreadsheetml/2006/main">
  <c r="M2" i="1" l="1"/>
  <c r="N2" i="1" s="1"/>
  <c r="O2" i="1" s="1"/>
  <c r="P2" i="1" s="1"/>
  <c r="Q2" i="1" s="1"/>
  <c r="R2" i="1" s="1"/>
  <c r="S2" i="1" s="1"/>
  <c r="P3" i="3"/>
  <c r="N2" i="3"/>
  <c r="O2" i="3" s="1"/>
  <c r="P2" i="3" s="1"/>
  <c r="Q2" i="3" s="1"/>
  <c r="R2" i="3" s="1"/>
  <c r="S2" i="3" s="1"/>
  <c r="T2" i="3" s="1"/>
  <c r="B2" i="2" l="1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H3" i="1" l="1"/>
</calcChain>
</file>

<file path=xl/sharedStrings.xml><?xml version="1.0" encoding="utf-8"?>
<sst xmlns="http://schemas.openxmlformats.org/spreadsheetml/2006/main" count="113" uniqueCount="85">
  <si>
    <t>Номер помещения</t>
  </si>
  <si>
    <t>№
п.п.</t>
  </si>
  <si>
    <t>Назначение помещения</t>
  </si>
  <si>
    <t>Минимальное расстояние
от поверхности пожарной нагрузки до нижнего пояса ферм перекрытия (покрытия), м</t>
  </si>
  <si>
    <t>1S01</t>
  </si>
  <si>
    <t>Для кабельных линий указывается масса изоляции без жил</t>
  </si>
  <si>
    <t>Масса горючего вещества,
кг</t>
  </si>
  <si>
    <t>Кабель АПвВнг(А)-LS 3х185/25</t>
  </si>
  <si>
    <t>Низшая теплота
сгорания,
МДж/кг</t>
  </si>
  <si>
    <t>Расстояние до соседних участков с
пожарной нагрузкой,
м</t>
  </si>
  <si>
    <t>Наименование ЛВЖ или ГЖ
обращающихся в помещении, установке</t>
  </si>
  <si>
    <t>Химическая
брутто-формула</t>
  </si>
  <si>
    <t>Рабочее давление в емкостях (аппаратах, баках и т.д.) где используются или обращаются ЛВЖ или ГЖ,
МПа</t>
  </si>
  <si>
    <t>Протяженность трубопроводов от емкостей (аппаратов, баков и т.д.) до отключающей арматуры, м</t>
  </si>
  <si>
    <t>Протяженность трубопроводов от емкостей (аппаратов, баков и т.д.) до отключающей арматуры,
м</t>
  </si>
  <si>
    <t>Максимальное рабочее давление в трубопроводах от емкостей до отключеющей арматуры, МПа</t>
  </si>
  <si>
    <t>Диаметр и толщина стенок трубопроводов</t>
  </si>
  <si>
    <t>Наименование горючих и трудногорючих веществ и материалов,
обращающихся в помещении, установке</t>
  </si>
  <si>
    <t>Наименование помещения</t>
  </si>
  <si>
    <t>Номер
помещения</t>
  </si>
  <si>
    <t>Расстояние до
соседних участков с пожарной нагрузкой, м</t>
  </si>
  <si>
    <t>Дизельное топливо, зимнее</t>
  </si>
  <si>
    <t>Время срабатывания системы автоматики отключения трубопроводов согласно паспортным данным установки, вероятность отказа системы автоматики, наличие резервирования элементов, с</t>
  </si>
  <si>
    <t>Высота борта, длина, ширина (при наличии поддонов и ограждений), м</t>
  </si>
  <si>
    <t>Наименование горючего газа</t>
  </si>
  <si>
    <t>Рабочее давление в емкостях (аппаратах, баках и т.д.) где содержатся или обращаются горючие газы, МПа</t>
  </si>
  <si>
    <t>Максимальное рабочее давление в трубопроводах, по которым транспортируются горючие газы, МПа</t>
  </si>
  <si>
    <t>Время срабатывания системы
автоматики отключения трубопроводов согласно паспортным данным установки, вероятность отказа системы автоматики, наличие резервирования элементов, с</t>
  </si>
  <si>
    <t>Блок отключающей арматуры</t>
  </si>
  <si>
    <t>Природный газ</t>
  </si>
  <si>
    <t xml:space="preserve">Химическая формула </t>
  </si>
  <si>
    <t>СН4 (93,63 % об)</t>
  </si>
  <si>
    <t>Молярная масса,
кг/кмоль</t>
  </si>
  <si>
    <t>Красным цветом представлен пример заполнения</t>
  </si>
  <si>
    <t>Тип горючего или трудногорючего вещества</t>
  </si>
  <si>
    <t>Полиэтилен низкого давления</t>
  </si>
  <si>
    <t>Время срабатывания автоматики отключения трубопроводов указывается:</t>
  </si>
  <si>
    <t>паспортное время - при вероятности отказа системы автоматики 0,000001 в год или обеспечено резервирование;</t>
  </si>
  <si>
    <t>120 с - если вероятность отказа автоматики больше 0,000001 в год и нет резервирования;</t>
  </si>
  <si>
    <t>300 с - при ручном отключении</t>
  </si>
  <si>
    <t>Высота помещения, м</t>
  </si>
  <si>
    <t>Номер
группы резервуаров</t>
  </si>
  <si>
    <t>Температура вспышки, ˚С</t>
  </si>
  <si>
    <t>Рабочее давление в резервуарах, МПа</t>
  </si>
  <si>
    <t>Протяженность трубопроводов от резервуаров до отключающей арматуры, м</t>
  </si>
  <si>
    <t>Наименование
ЛВЖ или ГЖ</t>
  </si>
  <si>
    <t>Телота сгорания,
МДж/кг</t>
  </si>
  <si>
    <t>Теплота сгорания,
МДж/кг</t>
  </si>
  <si>
    <t>Геометрические параметры
обвалования/ограждения, Длина х Ширина х Высота,
м</t>
  </si>
  <si>
    <t>Бензин АИ-93</t>
  </si>
  <si>
    <t>С6,911Н12,168</t>
  </si>
  <si>
    <t>Ø165х4,0</t>
  </si>
  <si>
    <t>20х20х5</t>
  </si>
  <si>
    <t>Диаметр резервуара,
м</t>
  </si>
  <si>
    <t>При указании пожарной нагрузки в виде оборудования, шкафов, щитов и т.д. указывается суммарная пожарная нагрузка, находящаяся в шкафах, щитах и т.д. При этом параметры пожарной нагрузки даются по каждому элементу.</t>
  </si>
  <si>
    <r>
      <t>Максимально возможная рабочая температура ЛВЖ или ГЖ,
˚</t>
    </r>
    <r>
      <rPr>
        <sz val="10.199999999999999"/>
        <color theme="1"/>
        <rFont val="Times New Roman"/>
        <family val="1"/>
        <charset val="204"/>
      </rPr>
      <t>С</t>
    </r>
  </si>
  <si>
    <r>
      <t>Объем горючего
 вещества, 
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</si>
  <si>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Плотность горючего
вещества, 
кг/м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</si>
  <si>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Площадь участка размещения пожарной нагрузки
(в проекции на пол), 
м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</si>
  <si>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t>Плотность,
кг/м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</si>
  <si>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Объем емкостей (аппаратов, баков, бочек и т.д.) где используются или обращаются  ЛВЖ или ГЖ, 
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</si>
  <si>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Расход ЛВЖ или ГЖ, 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/ч</t>
    </r>
  </si>
  <si>
    <r>
      <t>Площадь размещения
емкости (аппаратов, баков и т.д.) в проекции на пол, м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</si>
  <si>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t>Объем емкостей (аппаратов, баков и т.д.) где содержатся или обращаются горючией газы, 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</si>
  <si>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Расход горючих
газов, 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/ч</t>
    </r>
  </si>
  <si>
    <r>
      <t>Максимально возможная рабочая температура  ЛВЖ или ГЖ,
˚</t>
    </r>
    <r>
      <rPr>
        <sz val="10.199999999999999"/>
        <color theme="1"/>
        <rFont val="Times New Roman"/>
        <family val="1"/>
        <charset val="204"/>
      </rPr>
      <t>С</t>
    </r>
  </si>
  <si>
    <r>
      <t>Объем резервуаров
где используются или обращаются  ЛВЖ или ГЖ, м</t>
    </r>
    <r>
      <rPr>
        <vertAlign val="superscript"/>
        <sz val="12"/>
        <color theme="1"/>
        <rFont val="Times New Roman"/>
        <family val="1"/>
        <charset val="204"/>
      </rPr>
      <t>3</t>
    </r>
  </si>
  <si>
    <t>Ширина помещения, м</t>
  </si>
  <si>
    <t>Длина помещения, м</t>
  </si>
  <si>
    <t>Площадь помещения, м2</t>
  </si>
  <si>
    <t>Оси</t>
  </si>
  <si>
    <t>Отметки</t>
  </si>
  <si>
    <t>Наименование оборудования</t>
  </si>
  <si>
    <t>Б/В - 28/29</t>
  </si>
  <si>
    <t>насос замкнутого контура подогрева дизельного топлива</t>
  </si>
  <si>
    <t>С12,343H23,890</t>
  </si>
  <si>
    <t>Ø57х3,1</t>
  </si>
  <si>
    <t>0,05х3,0х3,1</t>
  </si>
  <si>
    <t>1S03</t>
  </si>
  <si>
    <t>Котельное отделение</t>
  </si>
  <si>
    <t>трубопровод</t>
  </si>
  <si>
    <t>Г/Д - 23/25</t>
  </si>
  <si>
    <t>кабельные проходки</t>
  </si>
  <si>
    <t>1S02</t>
  </si>
  <si>
    <t>Деаэраторное отделение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</si>
</sst>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.199999999999999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rgb="FF00B0F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textRotation="90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9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3:B10"/>
  <sheetViews>
    <sheetView topLeftCell="B1" zoomScale="90" zoomScaleNormal="90" workbookViewId="0">
      <selection activeCell="B19" sqref="B18:B19"/>
    </sheetView>
  </sheetViews>
  <sheetFormatPr defaultRowHeight="16.5" x14ac:dyDescent="0.3"/>
  <cols>
    <col min="1" max="1" width="9.140625" style="2"/>
    <col min="2" max="2" width="202.5703125" style="1" customWidth="1"/>
    <col min="3" max="16384" width="9.140625" style="1"/>
  </cols>
  <sheetData>
    <row r="3" spans="1:2" x14ac:dyDescent="0.3">
      <c r="A3" s="8">
        <v>1</v>
      </c>
      <c r="B3" s="11" t="s">
        <v>5</v>
      </c>
    </row>
    <row r="4" spans="1:2" x14ac:dyDescent="0.3">
      <c r="A4" s="8">
        <v>2</v>
      </c>
      <c r="B4" s="12" t="s">
        <v>33</v>
      </c>
    </row>
    <row r="5" spans="1:2" ht="31.5" x14ac:dyDescent="0.3">
      <c r="A5" s="8">
        <v>3</v>
      </c>
      <c r="B5" s="11" t="s">
        <v>54</v>
      </c>
    </row>
    <row r="6" spans="1:2" x14ac:dyDescent="0.3">
      <c r="A6" s="8">
        <v>4</v>
      </c>
      <c r="B6" s="11" t="s">
        <v>36</v>
      </c>
    </row>
    <row r="7" spans="1:2" x14ac:dyDescent="0.3">
      <c r="A7" s="8"/>
      <c r="B7" s="11" t="s">
        <v>37</v>
      </c>
    </row>
    <row r="8" spans="1:2" x14ac:dyDescent="0.3">
      <c r="A8" s="8"/>
      <c r="B8" s="11" t="s">
        <v>38</v>
      </c>
    </row>
    <row r="9" spans="1:2" x14ac:dyDescent="0.3">
      <c r="A9" s="8"/>
      <c r="B9" s="11" t="s">
        <v>39</v>
      </c>
    </row>
    <row r="10" spans="1:2" x14ac:dyDescent="0.3">
      <c r="B10" s="13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U15"/>
  <sheetViews>
    <sheetView zoomScale="70" zoomScaleNormal="70" workbookViewId="0">
      <pane ySplit="2" topLeftCell="A3" activePane="bottomLeft" state="frozen"/>
      <selection pane="bottomLeft" activeCell="M4" sqref="M4"/>
    </sheetView>
  </sheetViews>
  <sheetFormatPr defaultRowHeight="15" x14ac:dyDescent="0.25"/>
  <cols>
    <col min="1" max="1" width="5.85546875" style="6" customWidth="1"/>
    <col min="2" max="2" width="12.42578125" style="16" bestFit="1" customWidth="1"/>
    <col min="3" max="3" width="26.28515625" style="17" bestFit="1" customWidth="1"/>
    <col min="4" max="4" width="34" style="7" bestFit="1" customWidth="1"/>
    <col min="5" max="5" width="31.5703125" style="7" bestFit="1" customWidth="1"/>
    <col min="6" max="6" width="11" style="16" bestFit="1" customWidth="1"/>
    <col min="7" max="7" width="11.7109375" style="16" bestFit="1" customWidth="1"/>
    <col min="8" max="9" width="11" style="16" bestFit="1" customWidth="1"/>
    <col min="10" max="10" width="17" style="16" customWidth="1"/>
    <col min="11" max="11" width="15" style="16" bestFit="1" customWidth="1"/>
    <col min="12" max="12" width="18.85546875" style="16" bestFit="1" customWidth="1"/>
    <col min="13" max="13" width="12.5703125" style="16" customWidth="1"/>
    <col min="14" max="14" width="13" style="7" customWidth="1"/>
    <col min="15" max="15" width="13" style="7" bestFit="1" customWidth="1"/>
    <col min="16" max="16" width="12.5703125" style="7" bestFit="1" customWidth="1"/>
    <col min="17" max="17" width="12.42578125" style="7" bestFit="1" customWidth="1"/>
    <col min="18" max="18" width="9.140625" style="7"/>
    <col min="19" max="19" width="11.42578125" style="7" bestFit="1" customWidth="1"/>
    <col min="20" max="16384" width="9.140625" style="7"/>
  </cols>
  <sheetData>
    <row r="1" spans="1:21" s="6" customFormat="1" ht="161.25" x14ac:dyDescent="0.25">
      <c r="A1" s="18" t="s">
        <v>1</v>
      </c>
      <c r="B1" s="18" t="s">
        <v>0</v>
      </c>
      <c r="C1" s="18" t="s">
        <v>18</v>
      </c>
      <c r="D1" s="18" t="s">
        <v>17</v>
      </c>
      <c r="E1" s="18" t="s">
        <v>34</v>
      </c>
      <c r="F1" s="18" t="s">
        <v>56</v>
      </c>
      <c r="G1" s="18" t="s">
        <v>57</v>
      </c>
      <c r="H1" s="18" t="s">
        <v>6</v>
      </c>
      <c r="I1" s="18" t="s">
        <v>8</v>
      </c>
      <c r="J1" s="18" t="s">
        <v>58</v>
      </c>
      <c r="K1" s="18" t="s">
        <v>9</v>
      </c>
      <c r="L1" s="18" t="s">
        <v>3</v>
      </c>
      <c r="M1" s="25" t="s">
        <v>67</v>
      </c>
      <c r="N1" s="25" t="s">
        <v>68</v>
      </c>
      <c r="O1" s="25" t="s">
        <v>69</v>
      </c>
      <c r="P1" s="25" t="s">
        <v>40</v>
      </c>
      <c r="Q1" s="26" t="s">
        <v>70</v>
      </c>
      <c r="R1" s="26" t="s">
        <v>71</v>
      </c>
      <c r="S1" s="32" t="s">
        <v>72</v>
      </c>
    </row>
    <row r="2" spans="1:21" s="6" customFormat="1" ht="15.75" x14ac:dyDescent="0.25">
      <c r="A2" s="18">
        <v>1</v>
      </c>
      <c r="B2" s="19">
        <v>2</v>
      </c>
      <c r="C2" s="19">
        <v>3</v>
      </c>
      <c r="D2" s="18">
        <v>4</v>
      </c>
      <c r="E2" s="18">
        <v>5</v>
      </c>
      <c r="F2" s="18">
        <v>6</v>
      </c>
      <c r="G2" s="18">
        <v>7</v>
      </c>
      <c r="H2" s="18">
        <v>8</v>
      </c>
      <c r="I2" s="18">
        <v>9</v>
      </c>
      <c r="J2" s="18">
        <v>10</v>
      </c>
      <c r="K2" s="18">
        <v>11</v>
      </c>
      <c r="L2" s="18">
        <v>12</v>
      </c>
      <c r="M2" s="25">
        <f>L2+1</f>
        <v>13</v>
      </c>
      <c r="N2" s="25">
        <f>M2+1</f>
        <v>14</v>
      </c>
      <c r="O2" s="25">
        <f>N2+1</f>
        <v>15</v>
      </c>
      <c r="P2" s="25">
        <f>O2+1</f>
        <v>16</v>
      </c>
      <c r="Q2" s="25">
        <f>P2+1</f>
        <v>17</v>
      </c>
      <c r="R2" s="25">
        <f>Q2+1</f>
        <v>18</v>
      </c>
      <c r="S2" s="25">
        <f>R2+1</f>
        <v>19</v>
      </c>
    </row>
    <row r="3" spans="1:21" s="34" customFormat="1" ht="31.5" x14ac:dyDescent="0.25">
      <c r="A3" s="22">
        <v>1</v>
      </c>
      <c r="B3" s="22" t="s">
        <v>83</v>
      </c>
      <c r="C3" s="31" t="s">
        <v>84</v>
      </c>
      <c r="D3" s="33" t="s">
        <v>7</v>
      </c>
      <c r="E3" s="22" t="s">
        <v>35</v>
      </c>
      <c r="F3" s="22">
        <v>1.1000000000000001</v>
      </c>
      <c r="G3" s="22">
        <v>800</v>
      </c>
      <c r="H3" s="22">
        <f>F3*G3</f>
        <v>880.00000000000011</v>
      </c>
      <c r="I3" s="22">
        <v>18.100000000000001</v>
      </c>
      <c r="J3" s="22">
        <v>180</v>
      </c>
      <c r="K3" s="22">
        <v>20</v>
      </c>
      <c r="L3" s="22">
        <v>8</v>
      </c>
      <c r="M3" s="26">
        <v>7.5</v>
      </c>
      <c r="N3" s="26">
        <v>289.2</v>
      </c>
      <c r="O3" s="26">
        <v>2167.5</v>
      </c>
      <c r="P3" s="26">
        <v>34</v>
      </c>
      <c r="Q3" s="26" t="s">
        <v>81</v>
      </c>
      <c r="R3" s="30">
        <v>0</v>
      </c>
      <c r="S3" s="25" t="s">
        <v>82</v>
      </c>
    </row>
    <row r="4" spans="1:21" ht="15.75" x14ac:dyDescent="0.25">
      <c r="A4" s="8"/>
      <c r="B4" s="21"/>
      <c r="C4" s="23"/>
      <c r="D4" s="10"/>
      <c r="E4" s="22"/>
      <c r="F4" s="20"/>
      <c r="G4" s="20"/>
      <c r="H4" s="20"/>
      <c r="I4" s="20"/>
      <c r="J4" s="20"/>
      <c r="K4" s="20"/>
      <c r="L4" s="20"/>
      <c r="M4" s="20"/>
    </row>
    <row r="10" spans="1:21" x14ac:dyDescent="0.25">
      <c r="L10" s="35"/>
      <c r="M10" s="35"/>
      <c r="N10" s="36"/>
      <c r="O10" s="36"/>
      <c r="P10" s="36"/>
      <c r="Q10" s="36"/>
      <c r="R10" s="36"/>
      <c r="S10" s="36"/>
      <c r="T10" s="36"/>
      <c r="U10" s="36"/>
    </row>
    <row r="11" spans="1:21" x14ac:dyDescent="0.25">
      <c r="L11" s="35"/>
      <c r="M11" s="35"/>
      <c r="N11" s="36"/>
      <c r="O11" s="36"/>
      <c r="P11" s="36"/>
      <c r="Q11" s="36"/>
      <c r="R11" s="36"/>
      <c r="S11" s="36"/>
      <c r="T11" s="36"/>
      <c r="U11" s="36"/>
    </row>
    <row r="12" spans="1:21" ht="15.75" x14ac:dyDescent="0.25">
      <c r="L12" s="35"/>
      <c r="M12" s="37"/>
      <c r="N12" s="37"/>
      <c r="O12" s="37"/>
      <c r="P12" s="37"/>
      <c r="Q12" s="37"/>
      <c r="R12" s="38"/>
      <c r="S12" s="39"/>
      <c r="T12" s="36"/>
      <c r="U12" s="36"/>
    </row>
    <row r="13" spans="1:21" x14ac:dyDescent="0.25">
      <c r="L13" s="35"/>
      <c r="M13" s="35"/>
      <c r="N13" s="36"/>
      <c r="O13" s="36"/>
      <c r="P13" s="36"/>
      <c r="Q13" s="36"/>
      <c r="R13" s="36"/>
      <c r="S13" s="36"/>
      <c r="T13" s="36"/>
      <c r="U13" s="36"/>
    </row>
    <row r="14" spans="1:21" x14ac:dyDescent="0.25">
      <c r="L14" s="35"/>
      <c r="M14" s="35"/>
      <c r="N14" s="36"/>
      <c r="O14" s="36"/>
      <c r="P14" s="36"/>
      <c r="Q14" s="36"/>
      <c r="R14" s="36"/>
      <c r="S14" s="36"/>
      <c r="T14" s="36"/>
      <c r="U14" s="36"/>
    </row>
    <row r="15" spans="1:21" x14ac:dyDescent="0.25">
      <c r="L15" s="35"/>
      <c r="M15" s="35"/>
      <c r="N15" s="36"/>
      <c r="O15" s="36"/>
      <c r="P15" s="36"/>
      <c r="Q15" s="36"/>
      <c r="R15" s="36"/>
      <c r="S15" s="36"/>
      <c r="T15" s="36"/>
      <c r="U15" s="36"/>
    </row>
  </sheetData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2"/>
  <sheetViews>
    <sheetView zoomScale="55" zoomScaleNormal="55" workbookViewId="0">
      <pane ySplit="2" topLeftCell="A3" activePane="bottomLeft" state="frozen"/>
      <selection pane="bottomLeft" activeCell="H36" sqref="H36"/>
    </sheetView>
  </sheetViews>
  <sheetFormatPr defaultRowHeight="15.75" x14ac:dyDescent="0.25"/>
  <cols>
    <col min="1" max="1" width="7.28515625" style="21" customWidth="1"/>
    <col min="2" max="2" width="14.5703125" style="21" customWidth="1"/>
    <col min="3" max="3" width="32" style="9" customWidth="1"/>
    <col min="4" max="4" width="30.28515625" style="21" customWidth="1"/>
    <col min="5" max="5" width="16" style="21" bestFit="1" customWidth="1"/>
    <col min="6" max="6" width="13.5703125" style="21" customWidth="1"/>
    <col min="7" max="7" width="14.42578125" style="21" customWidth="1"/>
    <col min="8" max="8" width="12.7109375" style="21" customWidth="1"/>
    <col min="9" max="9" width="20.140625" style="21" customWidth="1"/>
    <col min="10" max="11" width="18.5703125" style="21" customWidth="1"/>
    <col min="12" max="12" width="16.28515625" style="21" customWidth="1"/>
    <col min="13" max="13" width="20" style="21" customWidth="1"/>
    <col min="14" max="14" width="18" style="21" customWidth="1"/>
    <col min="15" max="15" width="19.140625" style="21" customWidth="1"/>
    <col min="16" max="16" width="25" style="21" customWidth="1"/>
    <col min="17" max="17" width="21.85546875" style="21" customWidth="1"/>
    <col min="18" max="18" width="19.42578125" style="21" customWidth="1"/>
    <col min="19" max="19" width="17.7109375" style="21" customWidth="1"/>
    <col min="20" max="20" width="13.85546875" style="21" customWidth="1"/>
    <col min="21" max="21" width="14.140625" style="9" customWidth="1"/>
    <col min="22" max="22" width="13.85546875" style="9" customWidth="1"/>
    <col min="23" max="23" width="13.140625" style="9" customWidth="1"/>
    <col min="24" max="24" width="12.42578125" style="9" bestFit="1" customWidth="1"/>
    <col min="25" max="25" width="9.7109375" style="9" bestFit="1" customWidth="1"/>
    <col min="26" max="26" width="20.42578125" style="9" customWidth="1"/>
    <col min="27" max="16384" width="9.140625" style="9"/>
  </cols>
  <sheetData>
    <row r="1" spans="1:26" s="8" customFormat="1" ht="173.25" x14ac:dyDescent="0.25">
      <c r="A1" s="18" t="s">
        <v>1</v>
      </c>
      <c r="B1" s="18" t="s">
        <v>19</v>
      </c>
      <c r="C1" s="19" t="s">
        <v>2</v>
      </c>
      <c r="D1" s="18" t="s">
        <v>10</v>
      </c>
      <c r="E1" s="18" t="s">
        <v>11</v>
      </c>
      <c r="F1" s="18" t="s">
        <v>59</v>
      </c>
      <c r="G1" s="18" t="s">
        <v>42</v>
      </c>
      <c r="H1" s="18" t="s">
        <v>46</v>
      </c>
      <c r="I1" s="18" t="s">
        <v>60</v>
      </c>
      <c r="J1" s="18" t="s">
        <v>12</v>
      </c>
      <c r="K1" s="18" t="s">
        <v>55</v>
      </c>
      <c r="L1" s="18" t="s">
        <v>14</v>
      </c>
      <c r="M1" s="18" t="s">
        <v>15</v>
      </c>
      <c r="N1" s="18" t="s">
        <v>16</v>
      </c>
      <c r="O1" s="18" t="s">
        <v>61</v>
      </c>
      <c r="P1" s="18" t="s">
        <v>22</v>
      </c>
      <c r="Q1" s="18" t="s">
        <v>62</v>
      </c>
      <c r="R1" s="18" t="s">
        <v>23</v>
      </c>
      <c r="S1" s="18" t="s">
        <v>20</v>
      </c>
      <c r="T1" s="25" t="s">
        <v>67</v>
      </c>
      <c r="U1" s="25" t="s">
        <v>68</v>
      </c>
      <c r="V1" s="25" t="s">
        <v>69</v>
      </c>
      <c r="W1" s="25" t="s">
        <v>40</v>
      </c>
      <c r="X1" s="26" t="s">
        <v>70</v>
      </c>
      <c r="Y1" s="26" t="s">
        <v>71</v>
      </c>
      <c r="Z1" s="27" t="s">
        <v>72</v>
      </c>
    </row>
    <row r="2" spans="1:26" s="8" customFormat="1" x14ac:dyDescent="0.25">
      <c r="A2" s="18">
        <v>1</v>
      </c>
      <c r="B2" s="18">
        <f>A2+1</f>
        <v>2</v>
      </c>
      <c r="C2" s="18">
        <f t="shared" ref="C2:Z2" si="0">B2+1</f>
        <v>3</v>
      </c>
      <c r="D2" s="18">
        <f t="shared" si="0"/>
        <v>4</v>
      </c>
      <c r="E2" s="18">
        <f t="shared" si="0"/>
        <v>5</v>
      </c>
      <c r="F2" s="18">
        <f t="shared" si="0"/>
        <v>6</v>
      </c>
      <c r="G2" s="18">
        <f t="shared" si="0"/>
        <v>7</v>
      </c>
      <c r="H2" s="18">
        <f t="shared" si="0"/>
        <v>8</v>
      </c>
      <c r="I2" s="18">
        <f t="shared" si="0"/>
        <v>9</v>
      </c>
      <c r="J2" s="18">
        <f t="shared" si="0"/>
        <v>10</v>
      </c>
      <c r="K2" s="18">
        <f t="shared" si="0"/>
        <v>11</v>
      </c>
      <c r="L2" s="18">
        <f t="shared" si="0"/>
        <v>12</v>
      </c>
      <c r="M2" s="18">
        <f t="shared" si="0"/>
        <v>13</v>
      </c>
      <c r="N2" s="18">
        <f t="shared" si="0"/>
        <v>14</v>
      </c>
      <c r="O2" s="18">
        <f t="shared" si="0"/>
        <v>15</v>
      </c>
      <c r="P2" s="18">
        <f t="shared" si="0"/>
        <v>16</v>
      </c>
      <c r="Q2" s="18">
        <f t="shared" si="0"/>
        <v>17</v>
      </c>
      <c r="R2" s="18">
        <f t="shared" si="0"/>
        <v>18</v>
      </c>
      <c r="S2" s="18">
        <f t="shared" si="0"/>
        <v>19</v>
      </c>
      <c r="T2" s="25">
        <f t="shared" si="0"/>
        <v>20</v>
      </c>
      <c r="U2" s="25">
        <f t="shared" si="0"/>
        <v>21</v>
      </c>
      <c r="V2" s="25">
        <f t="shared" si="0"/>
        <v>22</v>
      </c>
      <c r="W2" s="25">
        <f t="shared" si="0"/>
        <v>23</v>
      </c>
      <c r="X2" s="25">
        <f t="shared" si="0"/>
        <v>24</v>
      </c>
      <c r="Y2" s="25">
        <f t="shared" si="0"/>
        <v>25</v>
      </c>
      <c r="Z2" s="25">
        <f t="shared" si="0"/>
        <v>26</v>
      </c>
    </row>
    <row r="3" spans="1:26" s="24" customFormat="1" ht="63" x14ac:dyDescent="0.25">
      <c r="A3" s="26">
        <v>2</v>
      </c>
      <c r="B3" s="28" t="s">
        <v>78</v>
      </c>
      <c r="C3" s="29" t="s">
        <v>79</v>
      </c>
      <c r="D3" s="28" t="s">
        <v>21</v>
      </c>
      <c r="E3" s="28" t="s">
        <v>75</v>
      </c>
      <c r="F3" s="28">
        <v>804</v>
      </c>
      <c r="G3" s="28">
        <v>35</v>
      </c>
      <c r="H3" s="28">
        <v>43.59</v>
      </c>
      <c r="I3" s="28">
        <v>12.5</v>
      </c>
      <c r="J3" s="28">
        <v>0.10100000000000001</v>
      </c>
      <c r="K3" s="28">
        <v>33</v>
      </c>
      <c r="L3" s="28">
        <v>3</v>
      </c>
      <c r="M3" s="28">
        <v>0.4</v>
      </c>
      <c r="N3" s="28" t="s">
        <v>76</v>
      </c>
      <c r="O3" s="28">
        <v>2</v>
      </c>
      <c r="P3" s="28">
        <v>120</v>
      </c>
      <c r="Q3" s="28">
        <v>6.25</v>
      </c>
      <c r="R3" s="28" t="s">
        <v>77</v>
      </c>
      <c r="S3" s="28">
        <v>7</v>
      </c>
      <c r="T3" s="26">
        <v>80.5</v>
      </c>
      <c r="U3" s="26">
        <v>289.2</v>
      </c>
      <c r="V3" s="26">
        <v>19770.3</v>
      </c>
      <c r="W3" s="26">
        <v>34</v>
      </c>
      <c r="X3" s="26" t="s">
        <v>73</v>
      </c>
      <c r="Y3" s="30">
        <v>0</v>
      </c>
      <c r="Z3" s="25" t="s">
        <v>74</v>
      </c>
    </row>
    <row r="4" spans="1:26" x14ac:dyDescent="0.25">
      <c r="A4" s="20"/>
      <c r="B4" s="20"/>
      <c r="C4" s="1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6" x14ac:dyDescent="0.25">
      <c r="A5" s="20"/>
      <c r="B5" s="20"/>
      <c r="C5" s="1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26" x14ac:dyDescent="0.25">
      <c r="A6" s="20"/>
      <c r="B6" s="20"/>
      <c r="C6" s="1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26" x14ac:dyDescent="0.25">
      <c r="A7" s="20"/>
      <c r="B7" s="20"/>
      <c r="C7" s="1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26" x14ac:dyDescent="0.25">
      <c r="A8" s="20"/>
      <c r="B8" s="20"/>
      <c r="C8" s="1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26" x14ac:dyDescent="0.25">
      <c r="A9" s="20"/>
      <c r="B9" s="20"/>
      <c r="C9" s="1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26" x14ac:dyDescent="0.25">
      <c r="A10" s="20"/>
      <c r="B10" s="20"/>
      <c r="C10" s="1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26" x14ac:dyDescent="0.25">
      <c r="A11" s="20"/>
      <c r="B11" s="20"/>
      <c r="C11" s="1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26" x14ac:dyDescent="0.25">
      <c r="A12" s="20"/>
      <c r="B12" s="20"/>
      <c r="C12" s="1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T3"/>
  <sheetViews>
    <sheetView topLeftCell="E1" zoomScale="85" zoomScaleNormal="85" workbookViewId="0">
      <pane ySplit="2" topLeftCell="A3" activePane="bottomLeft" state="frozen"/>
      <selection pane="bottomLeft" activeCell="K18" sqref="K18"/>
    </sheetView>
  </sheetViews>
  <sheetFormatPr defaultRowHeight="16.5" x14ac:dyDescent="0.3"/>
  <cols>
    <col min="1" max="1" width="6.28515625" style="3" customWidth="1"/>
    <col min="2" max="2" width="16.5703125" style="3" bestFit="1" customWidth="1"/>
    <col min="3" max="3" width="31.5703125" style="4" bestFit="1" customWidth="1"/>
    <col min="4" max="4" width="20.140625" style="3" customWidth="1"/>
    <col min="5" max="5" width="18.85546875" style="3" bestFit="1" customWidth="1"/>
    <col min="6" max="6" width="15.42578125" style="3" customWidth="1"/>
    <col min="7" max="7" width="17.42578125" style="3" customWidth="1"/>
    <col min="8" max="8" width="20.7109375" style="3" customWidth="1"/>
    <col min="9" max="9" width="16.140625" style="3" customWidth="1"/>
    <col min="10" max="10" width="19.7109375" style="3" customWidth="1"/>
    <col min="11" max="11" width="17" style="3" customWidth="1"/>
    <col min="12" max="12" width="14.140625" style="3" bestFit="1" customWidth="1"/>
    <col min="13" max="13" width="25.7109375" style="3" customWidth="1"/>
    <col min="14" max="14" width="19" style="3" customWidth="1"/>
    <col min="15" max="15" width="14.7109375" style="1" customWidth="1"/>
    <col min="16" max="16" width="14.140625" style="1" customWidth="1"/>
    <col min="17" max="17" width="13.85546875" style="1" customWidth="1"/>
    <col min="18" max="18" width="12.140625" style="1" bestFit="1" customWidth="1"/>
    <col min="19" max="19" width="9.140625" style="1"/>
    <col min="20" max="20" width="13.85546875" style="1" customWidth="1"/>
    <col min="21" max="23" width="9.140625" style="1"/>
    <col min="24" max="24" width="13.85546875" style="1" bestFit="1" customWidth="1"/>
    <col min="25" max="16384" width="9.140625" style="1"/>
  </cols>
  <sheetData>
    <row r="1" spans="1:20" s="2" customFormat="1" ht="159.75" x14ac:dyDescent="0.25">
      <c r="A1" s="18" t="s">
        <v>1</v>
      </c>
      <c r="B1" s="18" t="s">
        <v>0</v>
      </c>
      <c r="C1" s="18" t="s">
        <v>18</v>
      </c>
      <c r="D1" s="18" t="s">
        <v>24</v>
      </c>
      <c r="E1" s="18" t="s">
        <v>30</v>
      </c>
      <c r="F1" s="18" t="s">
        <v>32</v>
      </c>
      <c r="G1" s="18" t="s">
        <v>63</v>
      </c>
      <c r="H1" s="18" t="s">
        <v>25</v>
      </c>
      <c r="I1" s="18" t="s">
        <v>13</v>
      </c>
      <c r="J1" s="18" t="s">
        <v>26</v>
      </c>
      <c r="K1" s="18" t="s">
        <v>16</v>
      </c>
      <c r="L1" s="18" t="s">
        <v>64</v>
      </c>
      <c r="M1" s="18" t="s">
        <v>27</v>
      </c>
      <c r="N1" s="25" t="s">
        <v>67</v>
      </c>
      <c r="O1" s="25" t="s">
        <v>68</v>
      </c>
      <c r="P1" s="25" t="s">
        <v>69</v>
      </c>
      <c r="Q1" s="25" t="s">
        <v>40</v>
      </c>
      <c r="R1" s="26" t="s">
        <v>70</v>
      </c>
      <c r="S1" s="26" t="s">
        <v>71</v>
      </c>
      <c r="T1" s="32" t="s">
        <v>72</v>
      </c>
    </row>
    <row r="2" spans="1:20" s="2" customFormat="1" x14ac:dyDescent="0.25">
      <c r="A2" s="18">
        <v>1</v>
      </c>
      <c r="B2" s="19">
        <v>2</v>
      </c>
      <c r="C2" s="19">
        <v>3</v>
      </c>
      <c r="D2" s="18">
        <v>4</v>
      </c>
      <c r="E2" s="18">
        <v>5</v>
      </c>
      <c r="F2" s="18">
        <v>6</v>
      </c>
      <c r="G2" s="18">
        <v>7</v>
      </c>
      <c r="H2" s="18">
        <v>8</v>
      </c>
      <c r="I2" s="18">
        <v>9</v>
      </c>
      <c r="J2" s="18">
        <v>10</v>
      </c>
      <c r="K2" s="18">
        <v>11</v>
      </c>
      <c r="L2" s="18">
        <v>12</v>
      </c>
      <c r="M2" s="18">
        <v>13</v>
      </c>
      <c r="N2" s="25">
        <f>M2+1</f>
        <v>14</v>
      </c>
      <c r="O2" s="25">
        <f>N2+1</f>
        <v>15</v>
      </c>
      <c r="P2" s="25">
        <f>O2+1</f>
        <v>16</v>
      </c>
      <c r="Q2" s="25">
        <f>P2+1</f>
        <v>17</v>
      </c>
      <c r="R2" s="25">
        <f>Q2+1</f>
        <v>18</v>
      </c>
      <c r="S2" s="25">
        <f>R2+1</f>
        <v>19</v>
      </c>
      <c r="T2" s="25">
        <f>S2+1</f>
        <v>20</v>
      </c>
    </row>
    <row r="3" spans="1:20" s="13" customFormat="1" x14ac:dyDescent="0.25">
      <c r="A3" s="22">
        <v>1</v>
      </c>
      <c r="B3" s="22" t="s">
        <v>4</v>
      </c>
      <c r="C3" s="31" t="s">
        <v>28</v>
      </c>
      <c r="D3" s="22" t="s">
        <v>29</v>
      </c>
      <c r="E3" s="22" t="s">
        <v>31</v>
      </c>
      <c r="F3" s="22">
        <v>16.04</v>
      </c>
      <c r="G3" s="22">
        <v>20</v>
      </c>
      <c r="H3" s="22">
        <v>1.2</v>
      </c>
      <c r="I3" s="22">
        <v>25</v>
      </c>
      <c r="J3" s="22">
        <v>1.2</v>
      </c>
      <c r="K3" s="22" t="s">
        <v>51</v>
      </c>
      <c r="L3" s="22">
        <v>158</v>
      </c>
      <c r="M3" s="22">
        <v>5</v>
      </c>
      <c r="N3" s="26">
        <v>22</v>
      </c>
      <c r="O3" s="26">
        <v>45</v>
      </c>
      <c r="P3" s="26">
        <f>N3*O3</f>
        <v>990</v>
      </c>
      <c r="Q3" s="26">
        <v>12</v>
      </c>
      <c r="R3" s="26" t="s">
        <v>81</v>
      </c>
      <c r="S3" s="30">
        <v>0</v>
      </c>
      <c r="T3" s="2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P3"/>
  <sheetViews>
    <sheetView tabSelected="1" zoomScale="70" zoomScaleNormal="70" workbookViewId="0">
      <pane ySplit="2" topLeftCell="A3" activePane="bottomLeft" state="frozen"/>
      <selection pane="bottomLeft" activeCell="G10" sqref="G10"/>
    </sheetView>
  </sheetViews>
  <sheetFormatPr defaultRowHeight="16.5" x14ac:dyDescent="0.3"/>
  <cols>
    <col min="1" max="1" width="4.140625" style="3" bestFit="1" customWidth="1"/>
    <col min="2" max="2" width="12.85546875" style="3" customWidth="1"/>
    <col min="3" max="3" width="16.28515625" style="3" customWidth="1"/>
    <col min="4" max="4" width="15.85546875" style="3" bestFit="1" customWidth="1"/>
    <col min="5" max="5" width="13.7109375" style="3" customWidth="1"/>
    <col min="6" max="6" width="12.5703125" style="3" customWidth="1"/>
    <col min="7" max="7" width="16.42578125" style="3" customWidth="1"/>
    <col min="8" max="8" width="12.140625" style="3" bestFit="1" customWidth="1"/>
    <col min="9" max="9" width="16.140625" style="3" customWidth="1"/>
    <col min="10" max="10" width="15" style="3" customWidth="1"/>
    <col min="11" max="11" width="17.42578125" style="3" customWidth="1"/>
    <col min="12" max="12" width="18.28515625" style="3" customWidth="1"/>
    <col min="13" max="13" width="15.42578125" style="3" customWidth="1"/>
    <col min="14" max="14" width="14.5703125" style="3" customWidth="1"/>
    <col min="15" max="15" width="26.140625" style="3" customWidth="1"/>
    <col min="16" max="16" width="25.85546875" style="3" customWidth="1"/>
    <col min="17" max="16384" width="9.140625" style="1"/>
  </cols>
  <sheetData>
    <row r="1" spans="1:16" s="5" customFormat="1" ht="163.5" customHeight="1" x14ac:dyDescent="0.25">
      <c r="A1" s="18" t="s">
        <v>1</v>
      </c>
      <c r="B1" s="18" t="s">
        <v>41</v>
      </c>
      <c r="C1" s="18" t="s">
        <v>45</v>
      </c>
      <c r="D1" s="18" t="s">
        <v>11</v>
      </c>
      <c r="E1" s="18" t="s">
        <v>42</v>
      </c>
      <c r="F1" s="18" t="s">
        <v>47</v>
      </c>
      <c r="G1" s="18" t="s">
        <v>66</v>
      </c>
      <c r="H1" s="18" t="s">
        <v>53</v>
      </c>
      <c r="I1" s="18" t="s">
        <v>43</v>
      </c>
      <c r="J1" s="18" t="s">
        <v>65</v>
      </c>
      <c r="K1" s="18" t="s">
        <v>44</v>
      </c>
      <c r="L1" s="18" t="s">
        <v>15</v>
      </c>
      <c r="M1" s="18" t="s">
        <v>16</v>
      </c>
      <c r="N1" s="18" t="s">
        <v>61</v>
      </c>
      <c r="O1" s="18" t="s">
        <v>22</v>
      </c>
      <c r="P1" s="18" t="s">
        <v>48</v>
      </c>
    </row>
    <row r="2" spans="1:16" x14ac:dyDescent="0.3">
      <c r="A2" s="14">
        <v>1</v>
      </c>
      <c r="B2" s="14">
        <v>2</v>
      </c>
      <c r="C2" s="14">
        <v>3</v>
      </c>
      <c r="D2" s="14">
        <v>4</v>
      </c>
      <c r="E2" s="14">
        <v>5</v>
      </c>
      <c r="F2" s="14">
        <v>6</v>
      </c>
      <c r="G2" s="14">
        <v>7</v>
      </c>
      <c r="H2" s="14">
        <v>8</v>
      </c>
      <c r="I2" s="14">
        <v>9</v>
      </c>
      <c r="J2" s="14">
        <v>10</v>
      </c>
      <c r="K2" s="14">
        <v>11</v>
      </c>
      <c r="L2" s="14">
        <v>12</v>
      </c>
      <c r="M2" s="14">
        <v>13</v>
      </c>
      <c r="N2" s="14">
        <v>14</v>
      </c>
      <c r="O2" s="14">
        <v>15</v>
      </c>
      <c r="P2" s="14">
        <v>16</v>
      </c>
    </row>
    <row r="3" spans="1:16" x14ac:dyDescent="0.3">
      <c r="A3" s="15">
        <v>1</v>
      </c>
      <c r="B3" s="15">
        <v>1</v>
      </c>
      <c r="C3" s="15" t="s">
        <v>49</v>
      </c>
      <c r="D3" s="15" t="s">
        <v>50</v>
      </c>
      <c r="E3" s="15">
        <v>-37</v>
      </c>
      <c r="F3" s="15">
        <v>43.64</v>
      </c>
      <c r="G3" s="15">
        <v>2000</v>
      </c>
      <c r="H3" s="15">
        <v>13</v>
      </c>
      <c r="I3" s="15">
        <v>0.10100000000000001</v>
      </c>
      <c r="J3" s="15">
        <v>36</v>
      </c>
      <c r="K3" s="15">
        <v>5</v>
      </c>
      <c r="L3" s="15">
        <v>0.6</v>
      </c>
      <c r="M3" s="15" t="s">
        <v>51</v>
      </c>
      <c r="N3" s="15">
        <v>7</v>
      </c>
      <c r="O3" s="15">
        <v>3</v>
      </c>
      <c r="P3" s="15" t="s">
        <v>52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5C19B6E01C7264ABC79F40970995C44" ma:contentTypeVersion="0" ma:contentTypeDescription="Создание документа." ma:contentTypeScope="" ma:versionID="0a8593e6046055104a6a3b6322dfaa68">
  <xsd:schema xmlns:xsd="http://www.w3.org/2001/XMLSchema" xmlns:xs="http://www.w3.org/2001/XMLSchema" xmlns:p="http://schemas.microsoft.com/office/2006/metadata/properties" xmlns:ns2="68c1958a-1352-4af7-a71e-0f34c6838af2" targetNamespace="http://schemas.microsoft.com/office/2006/metadata/properties" ma:root="true" ma:fieldsID="6df5700a75733f107374ff68dc4e7863" ns2:_="">
    <xsd:import namespace="68c1958a-1352-4af7-a71e-0f34c6838af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1958a-1352-4af7-a71e-0f34c6838a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c1958a-1352-4af7-a71e-0f34c6838af2">KYRTTTTHJNKQ-170-191</_dlc_DocId>
    <_dlc_DocIdUrl xmlns="68c1958a-1352-4af7-a71e-0f34c6838af2">
      <Url>http://home/_layouts/15/DocIdRedir.aspx?ID=KYRTTTTHJNKQ-170-191</Url>
      <Description>KYRTTTTHJNKQ-170-191</Description>
    </_dlc_DocIdUrl>
  </documentManagement>
</p:properties>
</file>

<file path=customXml/itemProps1.xml><?xml version="1.0" encoding="utf-8"?>
<ds:datastoreItem xmlns:ds="http://schemas.openxmlformats.org/officeDocument/2006/customXml" ds:itemID="{7212BC1A-CF51-4289-AB0A-B34103D1882A}"/>
</file>

<file path=customXml/itemProps2.xml><?xml version="1.0" encoding="utf-8"?>
<ds:datastoreItem xmlns:ds="http://schemas.openxmlformats.org/officeDocument/2006/customXml" ds:itemID="{A5C42E03-2744-47C6-B62A-5909D6D4C6AC}"/>
</file>

<file path=customXml/itemProps3.xml><?xml version="1.0" encoding="utf-8"?>
<ds:datastoreItem xmlns:ds="http://schemas.openxmlformats.org/officeDocument/2006/customXml" ds:itemID="{991E3F44-404D-4963-ACCD-4DF5290E7EDF}"/>
</file>

<file path=customXml/itemProps4.xml><?xml version="1.0" encoding="utf-8"?>
<ds:datastoreItem xmlns:ds="http://schemas.openxmlformats.org/officeDocument/2006/customXml" ds:itemID="{7C14D2BC-0637-4C5E-B8AB-6F210E832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Пояснения</vt:lpstr>
      <vt:lpstr>Твердые вещества</vt:lpstr>
      <vt:lpstr>ГЖ_ЛВЖ</vt:lpstr>
      <vt:lpstr>Горючие газы</vt:lpstr>
      <vt:lpstr>Резервуарный парк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2022-08-23T10:39:37Z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1b31c67e-cbf7-4a2f-a614-9c253db31bbf</vt:lpwstr>
  </property>
  <property fmtid="{D5CDD505-2E9C-101B-9397-08002B2CF9AE}" pid="3" name="ContentTypeId">
    <vt:lpwstr>0x01010075C19B6E01C7264ABC79F40970995C44</vt:lpwstr>
  </property>
</Properties>
</file>